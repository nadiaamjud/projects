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diabanuamjud/Documents/CRDC Data/CRDC/"/>
    </mc:Choice>
  </mc:AlternateContent>
  <xr:revisionPtr revIDLastSave="0" documentId="13_ncr:1_{DCFC164A-DEEE-7849-8935-A59701802C18}" xr6:coauthVersionLast="47" xr6:coauthVersionMax="47" xr10:uidLastSave="{00000000-0000-0000-0000-000000000000}"/>
  <bookViews>
    <workbookView xWindow="0" yWindow="760" windowWidth="29400" windowHeight="16660" activeTab="1" xr2:uid="{61798CA2-4B57-5546-B5C7-642EF3DF22EF}"/>
  </bookViews>
  <sheets>
    <sheet name="Sheet1" sheetId="10" r:id="rId1"/>
    <sheet name="Sheet2" sheetId="11" r:id="rId2"/>
    <sheet name="Total" sheetId="1" r:id="rId3"/>
    <sheet name="Male" sheetId="2" r:id="rId4"/>
    <sheet name="Female" sheetId="3" r:id="rId5"/>
    <sheet name="Total w dis" sheetId="4" r:id="rId6"/>
    <sheet name="Male w dis" sheetId="5" r:id="rId7"/>
    <sheet name="Female w dis" sheetId="6" r:id="rId8"/>
    <sheet name="Total wo dis" sheetId="7" r:id="rId9"/>
    <sheet name="Male wo dis" sheetId="8" r:id="rId10"/>
    <sheet name="Female wo dis" sheetId="9" r:id="rId11"/>
  </sheets>
  <definedNames>
    <definedName name="_xlchart.v2.0" hidden="1">Sheet2!$A$3:$A$8</definedName>
    <definedName name="_xlchart.v2.1" hidden="1">Sheet2!$D$2</definedName>
    <definedName name="_xlchart.v2.2" hidden="1">Sheet2!$D$3:$D$8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2" i="11" l="1"/>
  <c r="B91" i="11"/>
  <c r="B90" i="11"/>
  <c r="B89" i="11"/>
  <c r="B88" i="11"/>
  <c r="B87" i="11"/>
  <c r="D99" i="11"/>
  <c r="D100" i="11"/>
  <c r="D101" i="11"/>
  <c r="D102" i="11"/>
  <c r="D103" i="11"/>
  <c r="C99" i="11"/>
  <c r="C100" i="11"/>
  <c r="C101" i="11"/>
  <c r="C102" i="11"/>
  <c r="C103" i="11"/>
  <c r="B99" i="11"/>
  <c r="B100" i="11"/>
  <c r="B101" i="11"/>
  <c r="B102" i="11"/>
  <c r="B103" i="11"/>
  <c r="D98" i="11"/>
  <c r="C98" i="11"/>
  <c r="B98" i="11"/>
  <c r="D89" i="11"/>
  <c r="D90" i="11"/>
  <c r="D91" i="11"/>
  <c r="D92" i="11"/>
  <c r="D88" i="11"/>
  <c r="C88" i="11"/>
  <c r="C89" i="11"/>
  <c r="C90" i="11"/>
  <c r="C91" i="11"/>
  <c r="C92" i="11"/>
  <c r="C87" i="11"/>
  <c r="D79" i="11"/>
  <c r="D80" i="11"/>
  <c r="D81" i="11"/>
  <c r="D82" i="11"/>
  <c r="D83" i="11"/>
  <c r="C79" i="11"/>
  <c r="C80" i="11"/>
  <c r="C81" i="11"/>
  <c r="C82" i="11"/>
  <c r="C83" i="11"/>
  <c r="B79" i="11"/>
  <c r="B80" i="11"/>
  <c r="B81" i="11"/>
  <c r="B82" i="11"/>
  <c r="B83" i="11"/>
  <c r="D78" i="11"/>
  <c r="C78" i="11"/>
  <c r="B78" i="11"/>
  <c r="U24" i="1" l="1"/>
</calcChain>
</file>

<file path=xl/sharedStrings.xml><?xml version="1.0" encoding="utf-8"?>
<sst xmlns="http://schemas.openxmlformats.org/spreadsheetml/2006/main" count="1676" uniqueCount="90">
  <si>
    <t>State</t>
  </si>
  <si>
    <t>Total Students</t>
  </si>
  <si>
    <r>
      <t>Race/Ethnicity of Students without Disabilities and with Disabilities Served Under IDEA</t>
    </r>
    <r>
      <rPr>
        <b/>
        <vertAlign val="superscript"/>
        <sz val="10"/>
        <rFont val="Arial"/>
        <family val="2"/>
      </rPr>
      <t>1</t>
    </r>
  </si>
  <si>
    <t>Students  With Disabilities Served Under  IDEA</t>
  </si>
  <si>
    <t>Students With Disabilities Served Only Under Section 504</t>
  </si>
  <si>
    <t>English Language Learners</t>
  </si>
  <si>
    <r>
      <t>Number of Schools</t>
    </r>
    <r>
      <rPr>
        <b/>
        <sz val="10"/>
        <color theme="0"/>
        <rFont val="Arial"/>
        <family val="2"/>
      </rPr>
      <t>a</t>
    </r>
  </si>
  <si>
    <t xml:space="preserve">Percent of Schools Reporting </t>
  </si>
  <si>
    <t>American Indian or
Alaska Native</t>
  </si>
  <si>
    <t>Asian</t>
  </si>
  <si>
    <t>Hispanic or Latino of any race</t>
  </si>
  <si>
    <t>Black or African American</t>
  </si>
  <si>
    <t>White</t>
  </si>
  <si>
    <t>Native Hawaiian or Other Pacific Islander</t>
  </si>
  <si>
    <t>Two or more races</t>
  </si>
  <si>
    <t>Number</t>
  </si>
  <si>
    <t>Percent </t>
  </si>
  <si>
    <r>
      <t>Percent</t>
    </r>
    <r>
      <rPr>
        <b/>
        <vertAlign val="superscript"/>
        <sz val="10"/>
        <rFont val="Arial"/>
        <family val="2"/>
      </rPr>
      <t>2</t>
    </r>
  </si>
  <si>
    <t>Year</t>
  </si>
  <si>
    <t>2017-18</t>
  </si>
  <si>
    <t>2015-16</t>
  </si>
  <si>
    <t>Students With Disabilities</t>
  </si>
  <si>
    <r>
      <t>Race/Ethnicity of Students With Disabilities Served Under IDEA</t>
    </r>
    <r>
      <rPr>
        <b/>
        <vertAlign val="superscript"/>
        <sz val="10"/>
        <rFont val="Arial"/>
        <family val="2"/>
      </rPr>
      <t>1</t>
    </r>
  </si>
  <si>
    <t xml:space="preserve">English Language Learners With Disabilities </t>
  </si>
  <si>
    <t>Students Without Disabilities</t>
  </si>
  <si>
    <t>Race/Ethnicity of Students Without Disabilities</t>
  </si>
  <si>
    <t xml:space="preserve">English Language Learners Without Disabilities </t>
  </si>
  <si>
    <t>Number of Schools</t>
  </si>
  <si>
    <t>Percent</t>
  </si>
  <si>
    <t>2013-14</t>
  </si>
  <si>
    <t>2011-12</t>
  </si>
  <si>
    <t>1 to 3</t>
  </si>
  <si>
    <t>#</t>
  </si>
  <si>
    <t xml:space="preserve">1-3 </t>
  </si>
  <si>
    <t>2020-21</t>
  </si>
  <si>
    <t>2009-10</t>
  </si>
  <si>
    <t>IL</t>
  </si>
  <si>
    <t xml:space="preserve"> -</t>
  </si>
  <si>
    <t xml:space="preserve">Students Without Disabilities and With Disabilities Served Under IDEA </t>
  </si>
  <si>
    <t>US</t>
  </si>
  <si>
    <t>American Indian</t>
  </si>
  <si>
    <t>Black</t>
  </si>
  <si>
    <t>Total</t>
  </si>
  <si>
    <t>M</t>
  </si>
  <si>
    <t>F</t>
  </si>
  <si>
    <t>16,894 (1)</t>
  </si>
  <si>
    <t>4844 (a)</t>
  </si>
  <si>
    <t>11076 (a)</t>
  </si>
  <si>
    <t>0,4</t>
  </si>
  <si>
    <t>% Student Enrollment - White</t>
  </si>
  <si>
    <t>% Student Enrollment - Asian</t>
  </si>
  <si>
    <t>% Student Enrollment - Black</t>
  </si>
  <si>
    <t>% Student Enrollment - Latinx</t>
  </si>
  <si>
    <t>% Student Enrollment - American Indian or Alaska Native</t>
  </si>
  <si>
    <t>% Student Enrollment - Native Hawaiian or Other Pacific Islander</t>
  </si>
  <si>
    <t>% Student Enrollment - Two or More Races</t>
  </si>
  <si>
    <t>% Student Enrollment - EL</t>
  </si>
  <si>
    <t>% Student Enrollment - Children with Disabilities</t>
  </si>
  <si>
    <t>Latinx</t>
  </si>
  <si>
    <t xml:space="preserve">White </t>
  </si>
  <si>
    <t>Native Hawaiian</t>
  </si>
  <si>
    <t>Two or More Races</t>
  </si>
  <si>
    <t>% of K-12 Enrollment</t>
  </si>
  <si>
    <t>% OOS-Suspended</t>
  </si>
  <si>
    <t>% of EL in K-12 Enrollment</t>
  </si>
  <si>
    <t>Student Enrollment in IL</t>
  </si>
  <si>
    <t>% of Students Expelled in IL</t>
  </si>
  <si>
    <t>Total WD</t>
  </si>
  <si>
    <t>Total WOD</t>
  </si>
  <si>
    <t>Male</t>
  </si>
  <si>
    <t>Female</t>
  </si>
  <si>
    <t>Male WD</t>
  </si>
  <si>
    <t>Male WOD</t>
  </si>
  <si>
    <t>Female WD</t>
  </si>
  <si>
    <t>Female WOD</t>
  </si>
  <si>
    <t>Students Suspended OOS in IL</t>
  </si>
  <si>
    <t xml:space="preserve">Male </t>
  </si>
  <si>
    <t># of Students Suspended</t>
  </si>
  <si>
    <t># of Students WD Suspended</t>
  </si>
  <si>
    <t># of Students WOD Suspended</t>
  </si>
  <si>
    <t># of Students with and without disabilities served under IDEA who were suspended OOS</t>
  </si>
  <si>
    <t>WD IDEA</t>
  </si>
  <si>
    <t>Percentage of English Learners Suspended OOS in Illinois by Gender</t>
  </si>
  <si>
    <t>T</t>
  </si>
  <si>
    <t>Total OOS</t>
  </si>
  <si>
    <t>Total 504</t>
  </si>
  <si>
    <t>Illinois Black Female WOD</t>
  </si>
  <si>
    <t>National Black Female WOD</t>
  </si>
  <si>
    <t>Illinois Latinx Female WOD</t>
  </si>
  <si>
    <t>National Latinx Female WOD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</si>
</sst>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)"/>
    <numFmt numFmtId="165" formatCode="#,##0.0_)"/>
    <numFmt numFmtId="166" formatCode="#,##0.0_);\(#,##0.0\)"/>
    <numFmt numFmtId="167" formatCode="0.0"/>
    <numFmt numFmtId="168" formatCode="0.0%"/>
  </numFmts>
  <fonts count="20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Arial"/>
      <family val="2"/>
    </font>
    <font>
      <sz val="10"/>
      <name val="MS Sans Serif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b/>
      <sz val="8"/>
      <name val="Arial"/>
      <family val="2"/>
    </font>
    <font>
      <b/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theme="1"/>
      <name val="Aptos Narrow"/>
      <scheme val="minor"/>
    </font>
    <font>
      <sz val="12"/>
      <color rgb="FF000000"/>
      <name val="Aptos"/>
    </font>
    <font>
      <sz val="12"/>
      <color theme="1"/>
      <name val="Aptos"/>
    </font>
    <font>
      <sz val="12"/>
      <name val="Aptos"/>
    </font>
    <font>
      <sz val="12"/>
      <name val="Arial"/>
      <family val="2"/>
    </font>
    <font>
      <sz val="14"/>
      <color rgb="FF595959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58800012207406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2828150273141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ck">
        <color rgb="FFE0E0E0"/>
      </left>
      <right style="thick">
        <color rgb="FFE0E0E0"/>
      </right>
      <top style="thick">
        <color rgb="FFE0E0E0"/>
      </top>
      <bottom style="thick">
        <color rgb="FFE0E0E0"/>
      </bottom>
      <diagonal/>
    </border>
    <border>
      <left style="thick">
        <color rgb="FFE0E0E0"/>
      </left>
      <right style="thick">
        <color rgb="FF666666"/>
      </right>
      <top style="thick">
        <color rgb="FFE0E0E0"/>
      </top>
      <bottom style="thick">
        <color rgb="FFE0E0E0"/>
      </bottom>
      <diagonal/>
    </border>
    <border>
      <left style="thick">
        <color rgb="FFE0E0E0"/>
      </left>
      <right style="thick">
        <color rgb="FFE0E0E0"/>
      </right>
      <top style="thick">
        <color rgb="FFDDDDDD"/>
      </top>
      <bottom style="thick">
        <color rgb="FFE0E0E0"/>
      </bottom>
      <diagonal/>
    </border>
    <border>
      <left style="thick">
        <color rgb="FFE0E0E0"/>
      </left>
      <right style="thick">
        <color rgb="FF666666"/>
      </right>
      <top style="thick">
        <color rgb="FFDDDDDD"/>
      </top>
      <bottom style="thick">
        <color rgb="FFE0E0E0"/>
      </bottom>
      <diagonal/>
    </border>
    <border>
      <left/>
      <right style="thick">
        <color rgb="FFE0E0E0"/>
      </right>
      <top/>
      <bottom style="thick">
        <color rgb="FFE0E0E0"/>
      </bottom>
      <diagonal/>
    </border>
    <border>
      <left/>
      <right style="thick">
        <color rgb="FFE0E0E0"/>
      </right>
      <top/>
      <bottom/>
      <diagonal/>
    </border>
    <border>
      <left style="thick">
        <color rgb="FFE0E0E0"/>
      </left>
      <right style="thick">
        <color rgb="FFE0E0E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3" fillId="0" borderId="0"/>
  </cellStyleXfs>
  <cellXfs count="202">
    <xf numFmtId="0" fontId="0" fillId="0" borderId="0" xfId="0"/>
    <xf numFmtId="0" fontId="2" fillId="0" borderId="0" xfId="1" applyFont="1"/>
    <xf numFmtId="0" fontId="7" fillId="0" borderId="0" xfId="1" applyFont="1"/>
    <xf numFmtId="0" fontId="4" fillId="0" borderId="20" xfId="2" applyFont="1" applyBorder="1"/>
    <xf numFmtId="1" fontId="4" fillId="0" borderId="21" xfId="2" applyNumberFormat="1" applyFont="1" applyBorder="1" applyAlignment="1">
      <alignment horizontal="right" wrapText="1"/>
    </xf>
    <xf numFmtId="1" fontId="4" fillId="0" borderId="22" xfId="2" applyNumberFormat="1" applyFont="1" applyBorder="1" applyAlignment="1">
      <alignment horizontal="right" wrapText="1"/>
    </xf>
    <xf numFmtId="1" fontId="4" fillId="0" borderId="23" xfId="0" applyNumberFormat="1" applyFont="1" applyBorder="1" applyAlignment="1">
      <alignment horizontal="right" wrapText="1"/>
    </xf>
    <xf numFmtId="1" fontId="4" fillId="0" borderId="24" xfId="2" applyNumberFormat="1" applyFont="1" applyBorder="1" applyAlignment="1">
      <alignment horizontal="right" wrapText="1"/>
    </xf>
    <xf numFmtId="1" fontId="4" fillId="0" borderId="25" xfId="0" applyNumberFormat="1" applyFont="1" applyBorder="1" applyAlignment="1">
      <alignment horizontal="right" wrapText="1"/>
    </xf>
    <xf numFmtId="1" fontId="4" fillId="0" borderId="20" xfId="2" applyNumberFormat="1" applyFont="1" applyBorder="1" applyAlignment="1">
      <alignment horizontal="right" wrapText="1"/>
    </xf>
    <xf numFmtId="1" fontId="4" fillId="0" borderId="26" xfId="2" applyNumberFormat="1" applyFont="1" applyBorder="1" applyAlignment="1">
      <alignment wrapText="1"/>
    </xf>
    <xf numFmtId="1" fontId="4" fillId="0" borderId="27" xfId="2" applyNumberFormat="1" applyFont="1" applyBorder="1" applyAlignment="1">
      <alignment wrapText="1"/>
    </xf>
    <xf numFmtId="0" fontId="8" fillId="0" borderId="0" xfId="1" applyFont="1"/>
    <xf numFmtId="164" fontId="7" fillId="0" borderId="0" xfId="1" applyNumberFormat="1" applyFont="1" applyAlignment="1">
      <alignment horizontal="right"/>
    </xf>
    <xf numFmtId="164" fontId="7" fillId="0" borderId="0" xfId="1" quotePrefix="1" applyNumberFormat="1" applyFont="1" applyAlignment="1">
      <alignment horizontal="right"/>
    </xf>
    <xf numFmtId="165" fontId="7" fillId="0" borderId="0" xfId="1" applyNumberFormat="1" applyFont="1" applyAlignment="1">
      <alignment horizontal="right"/>
    </xf>
    <xf numFmtId="37" fontId="7" fillId="0" borderId="0" xfId="3" applyNumberFormat="1" applyFont="1"/>
    <xf numFmtId="165" fontId="7" fillId="0" borderId="0" xfId="1" applyNumberFormat="1" applyFont="1"/>
    <xf numFmtId="164" fontId="7" fillId="2" borderId="18" xfId="1" applyNumberFormat="1" applyFont="1" applyFill="1" applyBorder="1" applyAlignment="1">
      <alignment horizontal="right"/>
    </xf>
    <xf numFmtId="164" fontId="7" fillId="2" borderId="30" xfId="1" quotePrefix="1" applyNumberFormat="1" applyFont="1" applyFill="1" applyBorder="1" applyAlignment="1">
      <alignment horizontal="right"/>
    </xf>
    <xf numFmtId="165" fontId="7" fillId="2" borderId="31" xfId="1" applyNumberFormat="1" applyFont="1" applyFill="1" applyBorder="1" applyAlignment="1">
      <alignment horizontal="right"/>
    </xf>
    <xf numFmtId="164" fontId="7" fillId="2" borderId="0" xfId="1" applyNumberFormat="1" applyFont="1" applyFill="1" applyAlignment="1">
      <alignment horizontal="right"/>
    </xf>
    <xf numFmtId="164" fontId="7" fillId="2" borderId="0" xfId="1" quotePrefix="1" applyNumberFormat="1" applyFont="1" applyFill="1" applyAlignment="1">
      <alignment horizontal="right"/>
    </xf>
    <xf numFmtId="164" fontId="7" fillId="2" borderId="19" xfId="1" quotePrefix="1" applyNumberFormat="1" applyFont="1" applyFill="1" applyBorder="1" applyAlignment="1">
      <alignment horizontal="right"/>
    </xf>
    <xf numFmtId="165" fontId="7" fillId="2" borderId="9" xfId="1" applyNumberFormat="1" applyFont="1" applyFill="1" applyBorder="1" applyAlignment="1">
      <alignment horizontal="right"/>
    </xf>
    <xf numFmtId="165" fontId="7" fillId="2" borderId="0" xfId="1" applyNumberFormat="1" applyFont="1" applyFill="1" applyAlignment="1">
      <alignment horizontal="right"/>
    </xf>
    <xf numFmtId="164" fontId="7" fillId="2" borderId="30" xfId="1" applyNumberFormat="1" applyFont="1" applyFill="1" applyBorder="1" applyAlignment="1">
      <alignment horizontal="right"/>
    </xf>
    <xf numFmtId="37" fontId="7" fillId="2" borderId="18" xfId="3" applyNumberFormat="1" applyFont="1" applyFill="1" applyBorder="1"/>
    <xf numFmtId="165" fontId="7" fillId="2" borderId="19" xfId="1" applyNumberFormat="1" applyFont="1" applyFill="1" applyBorder="1"/>
    <xf numFmtId="164" fontId="7" fillId="3" borderId="18" xfId="1" applyNumberFormat="1" applyFont="1" applyFill="1" applyBorder="1" applyAlignment="1">
      <alignment horizontal="right"/>
    </xf>
    <xf numFmtId="164" fontId="7" fillId="3" borderId="30" xfId="1" applyNumberFormat="1" applyFont="1" applyFill="1" applyBorder="1" applyAlignment="1">
      <alignment horizontal="right"/>
    </xf>
    <xf numFmtId="165" fontId="7" fillId="3" borderId="9" xfId="1" applyNumberFormat="1" applyFont="1" applyFill="1" applyBorder="1" applyAlignment="1">
      <alignment horizontal="right"/>
    </xf>
    <xf numFmtId="165" fontId="7" fillId="3" borderId="31" xfId="1" applyNumberFormat="1" applyFont="1" applyFill="1" applyBorder="1" applyAlignment="1">
      <alignment horizontal="right"/>
    </xf>
    <xf numFmtId="164" fontId="7" fillId="3" borderId="0" xfId="1" applyNumberFormat="1" applyFont="1" applyFill="1" applyAlignment="1">
      <alignment horizontal="right"/>
    </xf>
    <xf numFmtId="164" fontId="7" fillId="3" borderId="19" xfId="1" applyNumberFormat="1" applyFont="1" applyFill="1" applyBorder="1" applyAlignment="1">
      <alignment horizontal="right"/>
    </xf>
    <xf numFmtId="165" fontId="7" fillId="3" borderId="0" xfId="1" applyNumberFormat="1" applyFont="1" applyFill="1" applyAlignment="1">
      <alignment horizontal="right"/>
    </xf>
    <xf numFmtId="37" fontId="7" fillId="3" borderId="18" xfId="3" applyNumberFormat="1" applyFont="1" applyFill="1" applyBorder="1"/>
    <xf numFmtId="165" fontId="7" fillId="3" borderId="19" xfId="1" applyNumberFormat="1" applyFont="1" applyFill="1" applyBorder="1"/>
    <xf numFmtId="164" fontId="7" fillId="3" borderId="18" xfId="1" applyNumberFormat="1" applyFont="1" applyFill="1" applyBorder="1"/>
    <xf numFmtId="37" fontId="7" fillId="3" borderId="18" xfId="3" applyNumberFormat="1" applyFont="1" applyFill="1" applyBorder="1" applyAlignment="1">
      <alignment horizontal="right"/>
    </xf>
    <xf numFmtId="37" fontId="7" fillId="4" borderId="18" xfId="1" applyNumberFormat="1" applyFont="1" applyFill="1" applyBorder="1" applyAlignment="1">
      <alignment horizontal="right"/>
    </xf>
    <xf numFmtId="37" fontId="7" fillId="4" borderId="30" xfId="1" quotePrefix="1" applyNumberFormat="1" applyFont="1" applyFill="1" applyBorder="1" applyAlignment="1">
      <alignment horizontal="right"/>
    </xf>
    <xf numFmtId="166" fontId="7" fillId="4" borderId="9" xfId="1" applyNumberFormat="1" applyFont="1" applyFill="1" applyBorder="1" applyAlignment="1">
      <alignment horizontal="right"/>
    </xf>
    <xf numFmtId="166" fontId="7" fillId="4" borderId="31" xfId="1" applyNumberFormat="1" applyFont="1" applyFill="1" applyBorder="1" applyAlignment="1">
      <alignment horizontal="right"/>
    </xf>
    <xf numFmtId="37" fontId="7" fillId="4" borderId="0" xfId="1" applyNumberFormat="1" applyFont="1" applyFill="1" applyAlignment="1">
      <alignment horizontal="right"/>
    </xf>
    <xf numFmtId="37" fontId="7" fillId="4" borderId="19" xfId="1" quotePrefix="1" applyNumberFormat="1" applyFont="1" applyFill="1" applyBorder="1" applyAlignment="1">
      <alignment horizontal="right"/>
    </xf>
    <xf numFmtId="37" fontId="7" fillId="4" borderId="18" xfId="3" applyNumberFormat="1" applyFont="1" applyFill="1" applyBorder="1" applyAlignment="1">
      <alignment horizontal="right"/>
    </xf>
    <xf numFmtId="166" fontId="7" fillId="4" borderId="19" xfId="1" applyNumberFormat="1" applyFont="1" applyFill="1" applyBorder="1" applyAlignment="1">
      <alignment horizontal="right"/>
    </xf>
    <xf numFmtId="165" fontId="7" fillId="3" borderId="19" xfId="1" applyNumberFormat="1" applyFont="1" applyFill="1" applyBorder="1" applyAlignment="1">
      <alignment horizontal="right"/>
    </xf>
    <xf numFmtId="164" fontId="7" fillId="3" borderId="0" xfId="1" quotePrefix="1" applyNumberFormat="1" applyFont="1" applyFill="1" applyAlignment="1">
      <alignment horizontal="right"/>
    </xf>
    <xf numFmtId="37" fontId="0" fillId="5" borderId="0" xfId="0" applyNumberFormat="1" applyFill="1" applyAlignment="1">
      <alignment horizontal="right"/>
    </xf>
    <xf numFmtId="39" fontId="0" fillId="5" borderId="0" xfId="0" applyNumberFormat="1" applyFill="1" applyAlignment="1">
      <alignment horizontal="right"/>
    </xf>
    <xf numFmtId="166" fontId="0" fillId="5" borderId="0" xfId="0" applyNumberFormat="1" applyFill="1" applyAlignment="1">
      <alignment horizontal="right"/>
    </xf>
    <xf numFmtId="0" fontId="9" fillId="0" borderId="38" xfId="0" applyFont="1" applyBorder="1" applyAlignment="1">
      <alignment horizontal="center" vertical="top" wrapText="1"/>
    </xf>
    <xf numFmtId="3" fontId="9" fillId="0" borderId="38" xfId="0" applyNumberFormat="1" applyFont="1" applyBorder="1" applyAlignment="1">
      <alignment horizontal="center" vertical="top" wrapText="1"/>
    </xf>
    <xf numFmtId="0" fontId="9" fillId="0" borderId="39" xfId="0" applyFont="1" applyBorder="1" applyAlignment="1">
      <alignment horizontal="center" vertical="top" wrapText="1"/>
    </xf>
    <xf numFmtId="3" fontId="0" fillId="0" borderId="0" xfId="0" applyNumberFormat="1"/>
    <xf numFmtId="164" fontId="7" fillId="2" borderId="19" xfId="1" applyNumberFormat="1" applyFont="1" applyFill="1" applyBorder="1" applyAlignment="1">
      <alignment horizontal="right"/>
    </xf>
    <xf numFmtId="164" fontId="7" fillId="2" borderId="6" xfId="1" applyNumberFormat="1" applyFont="1" applyFill="1" applyBorder="1" applyAlignment="1">
      <alignment horizontal="right"/>
    </xf>
    <xf numFmtId="0" fontId="0" fillId="0" borderId="30" xfId="0" applyBorder="1"/>
    <xf numFmtId="0" fontId="0" fillId="0" borderId="31" xfId="0" applyBorder="1"/>
    <xf numFmtId="0" fontId="0" fillId="0" borderId="19" xfId="0" applyBorder="1"/>
    <xf numFmtId="0" fontId="0" fillId="0" borderId="9" xfId="0" applyBorder="1"/>
    <xf numFmtId="165" fontId="7" fillId="3" borderId="0" xfId="1" applyNumberFormat="1" applyFont="1" applyFill="1"/>
    <xf numFmtId="165" fontId="7" fillId="2" borderId="19" xfId="1" applyNumberFormat="1" applyFont="1" applyFill="1" applyBorder="1" applyAlignment="1">
      <alignment horizontal="right"/>
    </xf>
    <xf numFmtId="164" fontId="7" fillId="3" borderId="0" xfId="1" applyNumberFormat="1" applyFont="1" applyFill="1"/>
    <xf numFmtId="0" fontId="0" fillId="0" borderId="18" xfId="0" applyBorder="1"/>
    <xf numFmtId="0" fontId="0" fillId="0" borderId="38" xfId="0" applyBorder="1"/>
    <xf numFmtId="0" fontId="9" fillId="0" borderId="0" xfId="0" applyFont="1" applyAlignment="1">
      <alignment horizontal="center" vertical="top" wrapText="1"/>
    </xf>
    <xf numFmtId="3" fontId="9" fillId="0" borderId="0" xfId="0" applyNumberFormat="1" applyFont="1" applyAlignment="1">
      <alignment horizontal="center" vertical="top" wrapText="1"/>
    </xf>
    <xf numFmtId="0" fontId="0" fillId="0" borderId="6" xfId="0" applyBorder="1"/>
    <xf numFmtId="37" fontId="7" fillId="3" borderId="0" xfId="3" applyNumberFormat="1" applyFont="1" applyFill="1" applyAlignment="1">
      <alignment horizontal="right"/>
    </xf>
    <xf numFmtId="37" fontId="7" fillId="2" borderId="0" xfId="3" applyNumberFormat="1" applyFont="1" applyFill="1"/>
    <xf numFmtId="0" fontId="0" fillId="0" borderId="32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3" xfId="0" applyBorder="1"/>
    <xf numFmtId="37" fontId="7" fillId="2" borderId="37" xfId="3" applyNumberFormat="1" applyFont="1" applyFill="1" applyBorder="1"/>
    <xf numFmtId="165" fontId="7" fillId="2" borderId="36" xfId="1" applyNumberFormat="1" applyFont="1" applyFill="1" applyBorder="1"/>
    <xf numFmtId="0" fontId="10" fillId="0" borderId="0" xfId="0" applyFont="1" applyAlignment="1">
      <alignment horizontal="center" vertical="top" wrapText="1"/>
    </xf>
    <xf numFmtId="164" fontId="7" fillId="3" borderId="38" xfId="1" applyNumberFormat="1" applyFont="1" applyFill="1" applyBorder="1" applyAlignment="1">
      <alignment horizontal="right"/>
    </xf>
    <xf numFmtId="0" fontId="10" fillId="0" borderId="32" xfId="0" applyFont="1" applyBorder="1" applyAlignment="1">
      <alignment horizontal="center" vertical="top" wrapText="1"/>
    </xf>
    <xf numFmtId="165" fontId="7" fillId="3" borderId="38" xfId="1" applyNumberFormat="1" applyFont="1" applyFill="1" applyBorder="1" applyAlignment="1">
      <alignment horizontal="right"/>
    </xf>
    <xf numFmtId="0" fontId="10" fillId="0" borderId="34" xfId="0" applyFont="1" applyBorder="1" applyAlignment="1">
      <alignment horizontal="center" vertical="top" wrapText="1"/>
    </xf>
    <xf numFmtId="3" fontId="10" fillId="0" borderId="0" xfId="0" applyNumberFormat="1" applyFont="1" applyAlignment="1">
      <alignment horizontal="center" vertical="top" wrapText="1"/>
    </xf>
    <xf numFmtId="3" fontId="10" fillId="0" borderId="35" xfId="0" applyNumberFormat="1" applyFont="1" applyBorder="1" applyAlignment="1">
      <alignment horizontal="center" vertical="top" wrapText="1"/>
    </xf>
    <xf numFmtId="3" fontId="10" fillId="0" borderId="34" xfId="0" applyNumberFormat="1" applyFont="1" applyBorder="1" applyAlignment="1">
      <alignment horizontal="center" vertical="top" wrapText="1"/>
    </xf>
    <xf numFmtId="0" fontId="10" fillId="0" borderId="35" xfId="0" applyFont="1" applyBorder="1" applyAlignment="1">
      <alignment horizontal="center" vertical="top" wrapText="1"/>
    </xf>
    <xf numFmtId="164" fontId="7" fillId="3" borderId="39" xfId="1" applyNumberFormat="1" applyFont="1" applyFill="1" applyBorder="1" applyAlignment="1">
      <alignment horizontal="right"/>
    </xf>
    <xf numFmtId="0" fontId="0" fillId="0" borderId="37" xfId="0" applyBorder="1"/>
    <xf numFmtId="166" fontId="7" fillId="4" borderId="0" xfId="1" applyNumberFormat="1" applyFont="1" applyFill="1" applyAlignment="1">
      <alignment horizontal="right"/>
    </xf>
    <xf numFmtId="37" fontId="7" fillId="4" borderId="0" xfId="3" applyNumberFormat="1" applyFont="1" applyFill="1" applyAlignment="1">
      <alignment horizontal="right"/>
    </xf>
    <xf numFmtId="165" fontId="7" fillId="2" borderId="0" xfId="1" applyNumberFormat="1" applyFont="1" applyFill="1"/>
    <xf numFmtId="164" fontId="7" fillId="2" borderId="32" xfId="1" quotePrefix="1" applyNumberFormat="1" applyFont="1" applyFill="1" applyBorder="1" applyAlignment="1">
      <alignment horizontal="right"/>
    </xf>
    <xf numFmtId="37" fontId="7" fillId="3" borderId="0" xfId="3" applyNumberFormat="1" applyFont="1" applyFill="1"/>
    <xf numFmtId="165" fontId="7" fillId="0" borderId="31" xfId="1" applyNumberFormat="1" applyFont="1" applyBorder="1" applyAlignment="1">
      <alignment horizontal="right"/>
    </xf>
    <xf numFmtId="165" fontId="7" fillId="2" borderId="30" xfId="1" applyNumberFormat="1" applyFont="1" applyFill="1" applyBorder="1" applyAlignment="1">
      <alignment horizontal="right"/>
    </xf>
    <xf numFmtId="164" fontId="7" fillId="2" borderId="32" xfId="1" applyNumberFormat="1" applyFont="1" applyFill="1" applyBorder="1" applyAlignment="1">
      <alignment horizontal="right"/>
    </xf>
    <xf numFmtId="165" fontId="7" fillId="2" borderId="34" xfId="1" applyNumberFormat="1" applyFont="1" applyFill="1" applyBorder="1" applyAlignment="1">
      <alignment horizontal="right"/>
    </xf>
    <xf numFmtId="164" fontId="7" fillId="2" borderId="35" xfId="1" applyNumberFormat="1" applyFont="1" applyFill="1" applyBorder="1" applyAlignment="1">
      <alignment horizontal="right"/>
    </xf>
    <xf numFmtId="164" fontId="7" fillId="2" borderId="35" xfId="1" quotePrefix="1" applyNumberFormat="1" applyFont="1" applyFill="1" applyBorder="1" applyAlignment="1">
      <alignment horizontal="right"/>
    </xf>
    <xf numFmtId="164" fontId="7" fillId="2" borderId="36" xfId="1" quotePrefix="1" applyNumberFormat="1" applyFont="1" applyFill="1" applyBorder="1" applyAlignment="1">
      <alignment horizontal="right"/>
    </xf>
    <xf numFmtId="165" fontId="7" fillId="2" borderId="33" xfId="1" applyNumberFormat="1" applyFont="1" applyFill="1" applyBorder="1" applyAlignment="1">
      <alignment horizontal="right"/>
    </xf>
    <xf numFmtId="165" fontId="7" fillId="2" borderId="35" xfId="1" applyNumberFormat="1" applyFont="1" applyFill="1" applyBorder="1" applyAlignment="1">
      <alignment horizontal="right"/>
    </xf>
    <xf numFmtId="39" fontId="0" fillId="0" borderId="0" xfId="0" applyNumberFormat="1" applyAlignment="1">
      <alignment horizontal="right"/>
    </xf>
    <xf numFmtId="37" fontId="0" fillId="0" borderId="0" xfId="0" applyNumberFormat="1" applyAlignment="1">
      <alignment horizontal="right"/>
    </xf>
    <xf numFmtId="0" fontId="7" fillId="2" borderId="9" xfId="1" applyFont="1" applyFill="1" applyBorder="1" applyAlignment="1">
      <alignment horizontal="right"/>
    </xf>
    <xf numFmtId="0" fontId="11" fillId="0" borderId="40" xfId="0" applyFont="1" applyBorder="1" applyAlignment="1">
      <alignment horizontal="center" vertical="top" wrapText="1"/>
    </xf>
    <xf numFmtId="0" fontId="11" fillId="0" borderId="41" xfId="0" applyFont="1" applyBorder="1" applyAlignment="1">
      <alignment horizontal="center" vertical="top" wrapText="1"/>
    </xf>
    <xf numFmtId="0" fontId="9" fillId="0" borderId="42" xfId="0" applyFont="1" applyBorder="1" applyAlignment="1">
      <alignment horizontal="center" vertical="top" wrapText="1"/>
    </xf>
    <xf numFmtId="3" fontId="9" fillId="0" borderId="39" xfId="0" applyNumberFormat="1" applyFont="1" applyBorder="1" applyAlignment="1">
      <alignment horizontal="center" vertical="top" wrapText="1"/>
    </xf>
    <xf numFmtId="0" fontId="11" fillId="0" borderId="42" xfId="0" applyFont="1" applyBorder="1" applyAlignment="1">
      <alignment horizontal="center" vertical="top" wrapText="1"/>
    </xf>
    <xf numFmtId="3" fontId="10" fillId="0" borderId="38" xfId="0" applyNumberFormat="1" applyFont="1" applyBorder="1" applyAlignment="1">
      <alignment horizontal="center" vertical="top" wrapText="1"/>
    </xf>
    <xf numFmtId="0" fontId="10" fillId="0" borderId="38" xfId="0" applyFont="1" applyBorder="1" applyAlignment="1">
      <alignment horizontal="center" vertical="top" wrapText="1"/>
    </xf>
    <xf numFmtId="3" fontId="10" fillId="0" borderId="39" xfId="0" applyNumberFormat="1" applyFont="1" applyBorder="1" applyAlignment="1">
      <alignment horizontal="center" vertical="top" wrapText="1"/>
    </xf>
    <xf numFmtId="0" fontId="10" fillId="0" borderId="39" xfId="0" applyFont="1" applyBorder="1" applyAlignment="1">
      <alignment horizontal="center" vertical="top" wrapText="1"/>
    </xf>
    <xf numFmtId="37" fontId="0" fillId="0" borderId="0" xfId="0" applyNumberFormat="1"/>
    <xf numFmtId="37" fontId="0" fillId="0" borderId="18" xfId="0" applyNumberFormat="1" applyBorder="1"/>
    <xf numFmtId="37" fontId="0" fillId="0" borderId="6" xfId="0" applyNumberFormat="1" applyBorder="1"/>
    <xf numFmtId="0" fontId="11" fillId="0" borderId="0" xfId="0" applyFont="1" applyAlignment="1">
      <alignment horizontal="center" vertical="top" wrapText="1"/>
    </xf>
    <xf numFmtId="0" fontId="10" fillId="0" borderId="43" xfId="0" applyFont="1" applyBorder="1" applyAlignment="1">
      <alignment horizontal="center" vertical="top" wrapText="1"/>
    </xf>
    <xf numFmtId="0" fontId="10" fillId="0" borderId="44" xfId="0" applyFont="1" applyBorder="1" applyAlignment="1">
      <alignment horizontal="center" vertical="top" wrapText="1"/>
    </xf>
    <xf numFmtId="0" fontId="9" fillId="0" borderId="43" xfId="0" applyFont="1" applyBorder="1" applyAlignment="1">
      <alignment horizontal="center" vertical="top" wrapText="1"/>
    </xf>
    <xf numFmtId="0" fontId="9" fillId="0" borderId="44" xfId="0" applyFont="1" applyBorder="1" applyAlignment="1">
      <alignment horizontal="center" vertical="top" wrapText="1"/>
    </xf>
    <xf numFmtId="0" fontId="0" fillId="0" borderId="44" xfId="0" applyBorder="1"/>
    <xf numFmtId="3" fontId="9" fillId="0" borderId="43" xfId="0" applyNumberFormat="1" applyFont="1" applyBorder="1" applyAlignment="1">
      <alignment horizontal="center" vertical="top" wrapText="1"/>
    </xf>
    <xf numFmtId="3" fontId="9" fillId="0" borderId="44" xfId="0" applyNumberFormat="1" applyFont="1" applyBorder="1" applyAlignment="1">
      <alignment horizontal="center" vertical="top" wrapText="1"/>
    </xf>
    <xf numFmtId="3" fontId="10" fillId="0" borderId="43" xfId="0" applyNumberFormat="1" applyFont="1" applyBorder="1" applyAlignment="1">
      <alignment horizontal="center" vertical="top" wrapText="1"/>
    </xf>
    <xf numFmtId="3" fontId="10" fillId="0" borderId="44" xfId="0" applyNumberFormat="1" applyFont="1" applyBorder="1" applyAlignment="1">
      <alignment horizontal="center" vertical="top" wrapText="1"/>
    </xf>
    <xf numFmtId="167" fontId="0" fillId="0" borderId="0" xfId="0" applyNumberFormat="1"/>
    <xf numFmtId="0" fontId="13" fillId="0" borderId="45" xfId="0" applyFont="1" applyBorder="1" applyAlignment="1">
      <alignment horizontal="center" vertical="top"/>
    </xf>
    <xf numFmtId="168" fontId="0" fillId="0" borderId="0" xfId="0" applyNumberFormat="1"/>
    <xf numFmtId="0" fontId="12" fillId="0" borderId="0" xfId="0" applyFont="1"/>
    <xf numFmtId="10" fontId="14" fillId="0" borderId="0" xfId="0" applyNumberFormat="1" applyFont="1"/>
    <xf numFmtId="168" fontId="14" fillId="0" borderId="0" xfId="0" applyNumberFormat="1" applyFont="1"/>
    <xf numFmtId="0" fontId="15" fillId="0" borderId="0" xfId="0" applyFont="1" applyAlignment="1">
      <alignment horizontal="center" wrapText="1" readingOrder="1"/>
    </xf>
    <xf numFmtId="0" fontId="15" fillId="0" borderId="0" xfId="0" applyFont="1" applyAlignment="1">
      <alignment horizontal="center" readingOrder="1"/>
    </xf>
    <xf numFmtId="0" fontId="15" fillId="0" borderId="0" xfId="0" applyFont="1" applyAlignment="1">
      <alignment horizontal="center" vertical="top" readingOrder="1"/>
    </xf>
    <xf numFmtId="0" fontId="17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 readingOrder="1"/>
    </xf>
    <xf numFmtId="10" fontId="15" fillId="0" borderId="0" xfId="0" applyNumberFormat="1" applyFont="1" applyAlignment="1">
      <alignment horizontal="center" vertical="center" wrapText="1" readingOrder="1"/>
    </xf>
    <xf numFmtId="164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top" wrapText="1"/>
    </xf>
    <xf numFmtId="164" fontId="18" fillId="0" borderId="0" xfId="1" applyNumberFormat="1" applyFont="1" applyAlignment="1">
      <alignment horizontal="right"/>
    </xf>
    <xf numFmtId="37" fontId="18" fillId="0" borderId="0" xfId="1" applyNumberFormat="1" applyFont="1" applyAlignment="1">
      <alignment horizontal="right"/>
    </xf>
    <xf numFmtId="3" fontId="18" fillId="0" borderId="0" xfId="0" applyNumberFormat="1" applyFont="1" applyAlignment="1">
      <alignment horizontal="center" vertical="top" wrapText="1"/>
    </xf>
    <xf numFmtId="164" fontId="18" fillId="0" borderId="0" xfId="1" applyNumberFormat="1" applyFont="1"/>
    <xf numFmtId="0" fontId="19" fillId="0" borderId="0" xfId="0" applyFont="1" applyAlignment="1">
      <alignment horizontal="left" vertical="center" readingOrder="1"/>
    </xf>
    <xf numFmtId="1" fontId="4" fillId="0" borderId="0" xfId="2" applyNumberFormat="1" applyFont="1" applyAlignment="1">
      <alignment horizontal="right" wrapText="1"/>
    </xf>
    <xf numFmtId="1" fontId="4" fillId="0" borderId="0" xfId="0" applyNumberFormat="1" applyFont="1" applyAlignment="1">
      <alignment horizontal="right" wrapText="1"/>
    </xf>
    <xf numFmtId="1" fontId="7" fillId="0" borderId="0" xfId="2" applyNumberFormat="1" applyFont="1" applyAlignment="1">
      <alignment horizontal="right" wrapText="1"/>
    </xf>
    <xf numFmtId="1" fontId="7" fillId="0" borderId="0" xfId="0" applyNumberFormat="1" applyFont="1" applyAlignment="1">
      <alignment horizontal="right" wrapText="1"/>
    </xf>
    <xf numFmtId="0" fontId="0" fillId="6" borderId="0" xfId="0" applyFill="1"/>
    <xf numFmtId="1" fontId="4" fillId="6" borderId="24" xfId="2" applyNumberFormat="1" applyFont="1" applyFill="1" applyBorder="1" applyAlignment="1">
      <alignment horizontal="right" wrapText="1"/>
    </xf>
    <xf numFmtId="1" fontId="4" fillId="6" borderId="23" xfId="0" applyNumberFormat="1" applyFont="1" applyFill="1" applyBorder="1" applyAlignment="1">
      <alignment horizontal="right" wrapText="1"/>
    </xf>
    <xf numFmtId="0" fontId="10" fillId="6" borderId="38" xfId="0" applyFont="1" applyFill="1" applyBorder="1" applyAlignment="1">
      <alignment horizontal="center" vertical="top" wrapText="1"/>
    </xf>
    <xf numFmtId="168" fontId="0" fillId="6" borderId="0" xfId="0" applyNumberFormat="1" applyFill="1"/>
    <xf numFmtId="0" fontId="9" fillId="6" borderId="38" xfId="0" applyFont="1" applyFill="1" applyBorder="1" applyAlignment="1">
      <alignment horizontal="center" vertical="top" wrapText="1"/>
    </xf>
    <xf numFmtId="164" fontId="7" fillId="6" borderId="0" xfId="1" applyNumberFormat="1" applyFont="1" applyFill="1" applyAlignment="1">
      <alignment horizontal="right"/>
    </xf>
    <xf numFmtId="164" fontId="7" fillId="6" borderId="35" xfId="1" applyNumberFormat="1" applyFont="1" applyFill="1" applyBorder="1" applyAlignment="1">
      <alignment horizontal="right"/>
    </xf>
    <xf numFmtId="3" fontId="10" fillId="6" borderId="38" xfId="0" applyNumberFormat="1" applyFont="1" applyFill="1" applyBorder="1" applyAlignment="1">
      <alignment horizontal="center" vertical="top" wrapText="1"/>
    </xf>
    <xf numFmtId="3" fontId="9" fillId="6" borderId="38" xfId="0" applyNumberFormat="1" applyFont="1" applyFill="1" applyBorder="1" applyAlignment="1">
      <alignment horizontal="center" vertical="top" wrapText="1"/>
    </xf>
    <xf numFmtId="37" fontId="0" fillId="6" borderId="0" xfId="0" applyNumberFormat="1" applyFill="1"/>
    <xf numFmtId="37" fontId="7" fillId="6" borderId="0" xfId="1" applyNumberFormat="1" applyFont="1" applyFill="1" applyAlignment="1">
      <alignment horizontal="right"/>
    </xf>
    <xf numFmtId="0" fontId="0" fillId="6" borderId="35" xfId="0" applyFill="1" applyBorder="1"/>
    <xf numFmtId="37" fontId="0" fillId="6" borderId="0" xfId="0" applyNumberFormat="1" applyFill="1" applyAlignment="1">
      <alignment horizontal="right"/>
    </xf>
    <xf numFmtId="164" fontId="7" fillId="6" borderId="38" xfId="1" applyNumberFormat="1" applyFont="1" applyFill="1" applyBorder="1" applyAlignment="1">
      <alignment horizontal="right"/>
    </xf>
    <xf numFmtId="164" fontId="7" fillId="6" borderId="30" xfId="1" applyNumberFormat="1" applyFont="1" applyFill="1" applyBorder="1" applyAlignment="1">
      <alignment horizontal="right"/>
    </xf>
    <xf numFmtId="164" fontId="7" fillId="6" borderId="0" xfId="1" quotePrefix="1" applyNumberFormat="1" applyFont="1" applyFill="1" applyAlignment="1">
      <alignment horizontal="right"/>
    </xf>
    <xf numFmtId="164" fontId="7" fillId="6" borderId="35" xfId="1" quotePrefix="1" applyNumberFormat="1" applyFont="1" applyFill="1" applyBorder="1" applyAlignment="1">
      <alignment horizontal="right"/>
    </xf>
    <xf numFmtId="37" fontId="7" fillId="6" borderId="30" xfId="1" quotePrefix="1" applyNumberFormat="1" applyFont="1" applyFill="1" applyBorder="1" applyAlignment="1">
      <alignment horizontal="right"/>
    </xf>
    <xf numFmtId="164" fontId="7" fillId="6" borderId="30" xfId="1" quotePrefix="1" applyNumberFormat="1" applyFont="1" applyFill="1" applyBorder="1" applyAlignment="1">
      <alignment horizontal="right"/>
    </xf>
    <xf numFmtId="0" fontId="0" fillId="6" borderId="30" xfId="0" applyFill="1" applyBorder="1"/>
    <xf numFmtId="1" fontId="4" fillId="0" borderId="14" xfId="2" applyNumberFormat="1" applyFont="1" applyBorder="1" applyAlignment="1">
      <alignment horizontal="center" wrapText="1"/>
    </xf>
    <xf numFmtId="1" fontId="4" fillId="0" borderId="12" xfId="2" applyNumberFormat="1" applyFont="1" applyBorder="1" applyAlignment="1">
      <alignment horizontal="center" wrapText="1"/>
    </xf>
    <xf numFmtId="1" fontId="4" fillId="6" borderId="14" xfId="2" applyNumberFormat="1" applyFont="1" applyFill="1" applyBorder="1" applyAlignment="1">
      <alignment horizontal="center" wrapText="1"/>
    </xf>
    <xf numFmtId="1" fontId="4" fillId="6" borderId="12" xfId="2" applyNumberFormat="1" applyFont="1" applyFill="1" applyBorder="1" applyAlignment="1">
      <alignment horizontal="center" wrapText="1"/>
    </xf>
    <xf numFmtId="1" fontId="4" fillId="0" borderId="15" xfId="2" applyNumberFormat="1" applyFont="1" applyBorder="1" applyAlignment="1">
      <alignment horizontal="center" wrapText="1"/>
    </xf>
    <xf numFmtId="1" fontId="4" fillId="0" borderId="11" xfId="2" applyNumberFormat="1" applyFont="1" applyBorder="1" applyAlignment="1">
      <alignment horizontal="center" wrapText="1"/>
    </xf>
    <xf numFmtId="1" fontId="4" fillId="0" borderId="6" xfId="2" applyNumberFormat="1" applyFont="1" applyBorder="1" applyAlignment="1">
      <alignment horizontal="center" vertical="center" wrapText="1"/>
    </xf>
    <xf numFmtId="1" fontId="4" fillId="0" borderId="1" xfId="2" applyNumberFormat="1" applyFont="1" applyBorder="1" applyAlignment="1">
      <alignment horizontal="center" vertical="center" wrapText="1"/>
    </xf>
    <xf numFmtId="1" fontId="4" fillId="0" borderId="16" xfId="2" applyNumberFormat="1" applyFont="1" applyBorder="1" applyAlignment="1">
      <alignment horizontal="center" vertical="center" wrapText="1"/>
    </xf>
    <xf numFmtId="1" fontId="4" fillId="0" borderId="17" xfId="2" applyNumberFormat="1" applyFont="1" applyBorder="1" applyAlignment="1">
      <alignment horizontal="center" vertical="center" wrapText="1"/>
    </xf>
    <xf numFmtId="1" fontId="4" fillId="0" borderId="0" xfId="2" applyNumberFormat="1" applyFont="1" applyAlignment="1">
      <alignment horizontal="center" wrapText="1"/>
    </xf>
    <xf numFmtId="1" fontId="4" fillId="0" borderId="7" xfId="2" applyNumberFormat="1" applyFont="1" applyBorder="1" applyAlignment="1">
      <alignment horizontal="center" wrapText="1"/>
    </xf>
    <xf numFmtId="1" fontId="4" fillId="0" borderId="18" xfId="2" applyNumberFormat="1" applyFont="1" applyBorder="1" applyAlignment="1">
      <alignment horizontal="center" wrapText="1"/>
    </xf>
    <xf numFmtId="1" fontId="4" fillId="0" borderId="8" xfId="2" applyNumberFormat="1" applyFont="1" applyBorder="1" applyAlignment="1">
      <alignment horizontal="center" wrapText="1"/>
    </xf>
    <xf numFmtId="1" fontId="6" fillId="0" borderId="19" xfId="2" applyNumberFormat="1" applyFont="1" applyBorder="1" applyAlignment="1">
      <alignment horizontal="center" wrapText="1"/>
    </xf>
    <xf numFmtId="1" fontId="4" fillId="0" borderId="13" xfId="2" applyNumberFormat="1" applyFont="1" applyBorder="1" applyAlignment="1">
      <alignment horizontal="center" wrapText="1"/>
    </xf>
    <xf numFmtId="0" fontId="4" fillId="0" borderId="1" xfId="2" applyFont="1" applyBorder="1" applyAlignment="1">
      <alignment horizontal="left"/>
    </xf>
    <xf numFmtId="0" fontId="4" fillId="0" borderId="9" xfId="2" applyFont="1" applyBorder="1" applyAlignment="1">
      <alignment horizontal="left"/>
    </xf>
    <xf numFmtId="1" fontId="4" fillId="0" borderId="2" xfId="2" applyNumberFormat="1" applyFont="1" applyBorder="1" applyAlignment="1">
      <alignment horizontal="center" wrapText="1"/>
    </xf>
    <xf numFmtId="1" fontId="4" fillId="0" borderId="10" xfId="2" applyNumberFormat="1" applyFont="1" applyBorder="1" applyAlignment="1">
      <alignment horizontal="center" wrapText="1"/>
    </xf>
    <xf numFmtId="1" fontId="4" fillId="0" borderId="3" xfId="2" applyNumberFormat="1" applyFont="1" applyBorder="1" applyAlignment="1">
      <alignment horizontal="center" vertical="center"/>
    </xf>
    <xf numFmtId="1" fontId="4" fillId="0" borderId="4" xfId="2" applyNumberFormat="1" applyFont="1" applyBorder="1" applyAlignment="1">
      <alignment horizontal="center" vertical="center"/>
    </xf>
    <xf numFmtId="1" fontId="4" fillId="0" borderId="5" xfId="2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 wrapText="1"/>
    </xf>
    <xf numFmtId="1" fontId="4" fillId="0" borderId="28" xfId="0" applyNumberFormat="1" applyFont="1" applyBorder="1" applyAlignment="1">
      <alignment horizontal="center" vertical="center" wrapText="1"/>
    </xf>
    <xf numFmtId="1" fontId="4" fillId="0" borderId="22" xfId="0" applyNumberFormat="1" applyFont="1" applyBorder="1" applyAlignment="1">
      <alignment horizontal="center" vertical="center" wrapText="1"/>
    </xf>
    <xf numFmtId="1" fontId="4" fillId="0" borderId="29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2 2" xfId="3" xr:uid="{5AEB8DE1-D951-CB49-A102-EF72C7D367F4}"/>
    <cellStyle name="Normal 3" xfId="1" xr:uid="{9100095C-C067-584E-9A88-6AD76219A85D}"/>
    <cellStyle name="Normal 6" xfId="2" xr:uid="{011B08C9-28AA-5848-BAAB-37065F573BDF}"/>
  </cellStyles>
  <dxfs count="0"/>
  <tableStyles count="0" defaultTableStyle="TableStyleMedium2" defaultPivotStyle="PivotStyleLight16"/>
  <colors>
    <mruColors>
      <color rgb="FFAEAEAE"/>
      <color rgb="FFFF751C"/>
      <color rgb="FFFFC269"/>
      <color rgb="FF66B871"/>
      <color rgb="FF196B24"/>
      <color rgb="FF5E75FF"/>
      <color rgb="FF1A3D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Race/ Ethnicity of students who were Suspended Out-of-School in Illinois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Sheet1!$C$46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Sheet1!$B$47:$B$52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Sheet1!$C$47:$C$52</c:f>
              <c:numCache>
                <c:formatCode>#,##0.0_)</c:formatCode>
                <c:ptCount val="6"/>
                <c:pt idx="0" formatCode="General">
                  <c:v>0.3</c:v>
                </c:pt>
                <c:pt idx="1">
                  <c:v>0.257248424967844</c:v>
                </c:pt>
                <c:pt idx="2">
                  <c:v>0.2</c:v>
                </c:pt>
                <c:pt idx="3">
                  <c:v>0.24</c:v>
                </c:pt>
                <c:pt idx="4">
                  <c:v>0.2208</c:v>
                </c:pt>
                <c:pt idx="5" formatCode="General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4E-FB41-9E86-A984BE6EF7EC}"/>
            </c:ext>
          </c:extLst>
        </c:ser>
        <c:ser>
          <c:idx val="1"/>
          <c:order val="1"/>
          <c:tx>
            <c:strRef>
              <c:f>Sheet1!$D$46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Sheet1!$B$47:$B$52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Sheet1!$D$47:$D$52</c:f>
              <c:numCache>
                <c:formatCode>#,##0.0_)</c:formatCode>
                <c:ptCount val="6"/>
                <c:pt idx="0" formatCode="General">
                  <c:v>0.9</c:v>
                </c:pt>
                <c:pt idx="1">
                  <c:v>0.81352766239830898</c:v>
                </c:pt>
                <c:pt idx="2">
                  <c:v>0.6</c:v>
                </c:pt>
                <c:pt idx="3">
                  <c:v>0.71040000000000003</c:v>
                </c:pt>
                <c:pt idx="4">
                  <c:v>0.68940000000000001</c:v>
                </c:pt>
                <c:pt idx="5" formatCode="General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4E-FB41-9E86-A984BE6EF7EC}"/>
            </c:ext>
          </c:extLst>
        </c:ser>
        <c:ser>
          <c:idx val="2"/>
          <c:order val="2"/>
          <c:tx>
            <c:strRef>
              <c:f>Sheet1!$E$46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Sheet1!$B$47:$B$52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Sheet1!$E$47:$E$52</c:f>
              <c:numCache>
                <c:formatCode>#,##0.0_)</c:formatCode>
                <c:ptCount val="6"/>
                <c:pt idx="0" formatCode="General">
                  <c:v>18.8</c:v>
                </c:pt>
                <c:pt idx="1">
                  <c:v>19.8925127600134</c:v>
                </c:pt>
                <c:pt idx="2">
                  <c:v>19.600000000000001</c:v>
                </c:pt>
                <c:pt idx="3">
                  <c:v>19.228000000000002</c:v>
                </c:pt>
                <c:pt idx="4">
                  <c:v>19.044</c:v>
                </c:pt>
                <c:pt idx="5" formatCode="General">
                  <c:v>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4E-FB41-9E86-A984BE6EF7EC}"/>
            </c:ext>
          </c:extLst>
        </c:ser>
        <c:ser>
          <c:idx val="3"/>
          <c:order val="3"/>
          <c:tx>
            <c:strRef>
              <c:f>Sheet1!$F$46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Sheet1!$B$47:$B$52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Sheet1!$F$47:$F$52</c:f>
              <c:numCache>
                <c:formatCode>#,##0.0_)</c:formatCode>
                <c:ptCount val="6"/>
                <c:pt idx="0" formatCode="General">
                  <c:v>49</c:v>
                </c:pt>
                <c:pt idx="1">
                  <c:v>46.8995010691376</c:v>
                </c:pt>
                <c:pt idx="2">
                  <c:v>56</c:v>
                </c:pt>
                <c:pt idx="3">
                  <c:v>48.302599999999998</c:v>
                </c:pt>
                <c:pt idx="4">
                  <c:v>47.533900000000003</c:v>
                </c:pt>
                <c:pt idx="5" formatCode="General">
                  <c:v>18.8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4E-FB41-9E86-A984BE6EF7EC}"/>
            </c:ext>
          </c:extLst>
        </c:ser>
        <c:ser>
          <c:idx val="4"/>
          <c:order val="4"/>
          <c:tx>
            <c:strRef>
              <c:f>Sheet1!$G$46</c:f>
              <c:strCache>
                <c:ptCount val="1"/>
                <c:pt idx="0">
                  <c:v>White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Sheet1!$B$47:$B$52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Sheet1!$G$47:$G$52</c:f>
              <c:numCache>
                <c:formatCode>#,##0.0_)</c:formatCode>
                <c:ptCount val="6"/>
                <c:pt idx="0">
                  <c:v>37.299999999999997</c:v>
                </c:pt>
                <c:pt idx="1">
                  <c:v>29.318127821335199</c:v>
                </c:pt>
                <c:pt idx="2">
                  <c:v>21</c:v>
                </c:pt>
                <c:pt idx="3">
                  <c:v>27.469899999999999</c:v>
                </c:pt>
                <c:pt idx="4">
                  <c:v>27.877400000000002</c:v>
                </c:pt>
                <c:pt idx="5" formatCode="General">
                  <c:v>58.5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4E-FB41-9E86-A984BE6EF7EC}"/>
            </c:ext>
          </c:extLst>
        </c:ser>
        <c:ser>
          <c:idx val="5"/>
          <c:order val="5"/>
          <c:tx>
            <c:strRef>
              <c:f>Sheet1!$H$46</c:f>
              <c:strCache>
                <c:ptCount val="1"/>
                <c:pt idx="0">
                  <c:v>Native Hawaiian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Sheet1!$B$47:$B$52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Sheet1!$H$47:$H$52</c:f>
              <c:numCache>
                <c:formatCode>#,##0.0_)</c:formatCode>
                <c:ptCount val="6"/>
                <c:pt idx="1">
                  <c:v>5.7348374992831498E-2</c:v>
                </c:pt>
                <c:pt idx="2">
                  <c:v>0.1</c:v>
                </c:pt>
                <c:pt idx="3">
                  <c:v>7.1900000000000006E-2</c:v>
                </c:pt>
                <c:pt idx="4">
                  <c:v>6.4100000000000004E-2</c:v>
                </c:pt>
                <c:pt idx="5" formatCode="General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34E-FB41-9E86-A984BE6EF7EC}"/>
            </c:ext>
          </c:extLst>
        </c:ser>
        <c:ser>
          <c:idx val="6"/>
          <c:order val="6"/>
          <c:tx>
            <c:strRef>
              <c:f>Sheet1!$I$46</c:f>
              <c:strCache>
                <c:ptCount val="1"/>
                <c:pt idx="0">
                  <c:v>Two or More Races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Sheet1!$B$47:$B$52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Sheet1!$I$47:$I$52</c:f>
              <c:numCache>
                <c:formatCode>#,##0.0_)</c:formatCode>
                <c:ptCount val="6"/>
                <c:pt idx="1">
                  <c:v>2.7617338871547799</c:v>
                </c:pt>
                <c:pt idx="2">
                  <c:v>2.5</c:v>
                </c:pt>
                <c:pt idx="3">
                  <c:v>3.9771999999999998</c:v>
                </c:pt>
                <c:pt idx="4">
                  <c:v>4.5705</c:v>
                </c:pt>
                <c:pt idx="5" formatCode="General">
                  <c:v>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4E-FB41-9E86-A984BE6EF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8581263"/>
        <c:axId val="258678863"/>
      </c:barChart>
      <c:catAx>
        <c:axId val="25858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678863"/>
        <c:crosses val="autoZero"/>
        <c:auto val="1"/>
        <c:lblAlgn val="ctr"/>
        <c:lblOffset val="100"/>
        <c:noMultiLvlLbl val="0"/>
      </c:catAx>
      <c:valAx>
        <c:axId val="25867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58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Percentage of Students Suspended Out-of-School vs Percentage of K-12 </a:t>
            </a:r>
            <a:r>
              <a:rPr lang="en-US" sz="1400" b="0" i="0" u="none" strike="noStrike" kern="1200" spc="0" baseline="0" dirty="0" err="1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Enrollment</a:t>
            </a:r>
            <a:r>
              <a:rPr lang="en-US" sz="1400" b="0" i="0" u="none" strike="noStrike" kern="1200" spc="0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in Illinois by Race/Ethnicity in 2010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Sheet1!$B$10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rgbClr val="196B24"/>
            </a:solidFill>
            <a:ln>
              <a:solidFill>
                <a:srgbClr val="196B24"/>
              </a:solidFill>
            </a:ln>
            <a:effectLst/>
          </c:spPr>
          <c:invertIfNegative val="0"/>
          <c:cat>
            <c:strRef>
              <c:f>Sheet1!$A$11:$A$12</c:f>
              <c:strCache>
                <c:ptCount val="2"/>
                <c:pt idx="0">
                  <c:v>% OOS-Suspended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Sheet1!$B$11:$B$12</c:f>
              <c:numCache>
                <c:formatCode>0.0%</c:formatCode>
                <c:ptCount val="2"/>
                <c:pt idx="0">
                  <c:v>3.0000000000000001E-3</c:v>
                </c:pt>
                <c:pt idx="1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96-904B-AE4A-F103207EC1B5}"/>
            </c:ext>
          </c:extLst>
        </c:ser>
        <c:ser>
          <c:idx val="1"/>
          <c:order val="1"/>
          <c:tx>
            <c:strRef>
              <c:f>Sheet1!$C$10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5E75FF"/>
            </a:solidFill>
            <a:ln>
              <a:solidFill>
                <a:srgbClr val="5E75FF"/>
              </a:solidFill>
            </a:ln>
            <a:effectLst/>
          </c:spPr>
          <c:invertIfNegative val="0"/>
          <c:cat>
            <c:strRef>
              <c:f>Sheet1!$A$11:$A$12</c:f>
              <c:strCache>
                <c:ptCount val="2"/>
                <c:pt idx="0">
                  <c:v>% OOS-Suspended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Sheet1!$C$11:$C$12</c:f>
              <c:numCache>
                <c:formatCode>0.0%</c:formatCode>
                <c:ptCount val="2"/>
                <c:pt idx="0">
                  <c:v>8.9999999999999993E-3</c:v>
                </c:pt>
                <c:pt idx="1">
                  <c:v>4.2000000000000003E-2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96-904B-AE4A-F103207EC1B5}"/>
            </c:ext>
          </c:extLst>
        </c:ser>
        <c:ser>
          <c:idx val="2"/>
          <c:order val="2"/>
          <c:tx>
            <c:strRef>
              <c:f>Sheet1!$D$10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rgbClr val="AEAEAE"/>
            </a:solidFill>
            <a:ln>
              <a:solidFill>
                <a:srgbClr val="AEAEAE"/>
              </a:solidFill>
            </a:ln>
            <a:effectLst/>
          </c:spPr>
          <c:invertIfNegative val="0"/>
          <c:cat>
            <c:strRef>
              <c:f>Sheet1!$A$11:$A$12</c:f>
              <c:strCache>
                <c:ptCount val="2"/>
                <c:pt idx="0">
                  <c:v>% OOS-Suspended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Sheet1!$D$11:$D$12</c:f>
              <c:numCache>
                <c:formatCode>0.0%</c:formatCode>
                <c:ptCount val="2"/>
                <c:pt idx="0">
                  <c:v>0.188</c:v>
                </c:pt>
                <c:pt idx="1">
                  <c:v>0.21099999999999999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96-904B-AE4A-F103207EC1B5}"/>
            </c:ext>
          </c:extLst>
        </c:ser>
        <c:ser>
          <c:idx val="3"/>
          <c:order val="3"/>
          <c:tx>
            <c:strRef>
              <c:f>Sheet1!$E$10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rgbClr val="FF751C"/>
            </a:solidFill>
            <a:ln>
              <a:solidFill>
                <a:srgbClr val="FF751C"/>
              </a:solidFill>
            </a:ln>
            <a:effectLst/>
          </c:spPr>
          <c:invertIfNegative val="0"/>
          <c:cat>
            <c:strRef>
              <c:f>Sheet1!$A$11:$A$12</c:f>
              <c:strCache>
                <c:ptCount val="2"/>
                <c:pt idx="0">
                  <c:v>% OOS-Suspended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Sheet1!$E$11:$E$12</c:f>
              <c:numCache>
                <c:formatCode>0.0%</c:formatCode>
                <c:ptCount val="2"/>
                <c:pt idx="0">
                  <c:v>0.49</c:v>
                </c:pt>
                <c:pt idx="1">
                  <c:v>0.188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96-904B-AE4A-F103207EC1B5}"/>
            </c:ext>
          </c:extLst>
        </c:ser>
        <c:ser>
          <c:idx val="4"/>
          <c:order val="4"/>
          <c:tx>
            <c:strRef>
              <c:f>Sheet1!$F$10</c:f>
              <c:strCache>
                <c:ptCount val="1"/>
                <c:pt idx="0">
                  <c:v>White </c:v>
                </c:pt>
              </c:strCache>
            </c:strRef>
          </c:tx>
          <c:spPr>
            <a:solidFill>
              <a:srgbClr val="1A3D66"/>
            </a:solidFill>
            <a:ln>
              <a:solidFill>
                <a:srgbClr val="1A3D66"/>
              </a:solidFill>
            </a:ln>
            <a:effectLst/>
          </c:spPr>
          <c:invertIfNegative val="0"/>
          <c:cat>
            <c:strRef>
              <c:f>Sheet1!$A$11:$A$12</c:f>
              <c:strCache>
                <c:ptCount val="2"/>
                <c:pt idx="0">
                  <c:v>% OOS-Suspended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Sheet1!$F$11:$F$12</c:f>
              <c:numCache>
                <c:formatCode>0.0%</c:formatCode>
                <c:ptCount val="2"/>
                <c:pt idx="0">
                  <c:v>0.373</c:v>
                </c:pt>
                <c:pt idx="1">
                  <c:v>0.52800000000000002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96-904B-AE4A-F103207EC1B5}"/>
            </c:ext>
          </c:extLst>
        </c:ser>
        <c:ser>
          <c:idx val="5"/>
          <c:order val="5"/>
          <c:tx>
            <c:strRef>
              <c:f>Sheet1!$G$10</c:f>
              <c:strCache>
                <c:ptCount val="1"/>
                <c:pt idx="0">
                  <c:v>Native Hawaiian</c:v>
                </c:pt>
              </c:strCache>
            </c:strRef>
          </c:tx>
          <c:spPr>
            <a:solidFill>
              <a:srgbClr val="FFC269"/>
            </a:solidFill>
            <a:ln>
              <a:solidFill>
                <a:srgbClr val="FFC269"/>
              </a:solidFill>
            </a:ln>
            <a:effectLst/>
          </c:spPr>
          <c:invertIfNegative val="0"/>
          <c:cat>
            <c:strRef>
              <c:f>Sheet1!$A$11:$A$12</c:f>
              <c:strCache>
                <c:ptCount val="2"/>
                <c:pt idx="0">
                  <c:v>% OOS-Suspended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Sheet1!$G$11:$G$12</c:f>
              <c:numCache>
                <c:formatCode>0.0%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5-6096-904B-AE4A-F103207EC1B5}"/>
            </c:ext>
          </c:extLst>
        </c:ser>
        <c:ser>
          <c:idx val="6"/>
          <c:order val="6"/>
          <c:tx>
            <c:strRef>
              <c:f>Sheet1!$H$10</c:f>
              <c:strCache>
                <c:ptCount val="1"/>
                <c:pt idx="0">
                  <c:v>Two or More Races</c:v>
                </c:pt>
              </c:strCache>
            </c:strRef>
          </c:tx>
          <c:spPr>
            <a:solidFill>
              <a:srgbClr val="66B871"/>
            </a:solidFill>
            <a:ln>
              <a:solidFill>
                <a:srgbClr val="66B871"/>
              </a:solidFill>
            </a:ln>
            <a:effectLst/>
          </c:spPr>
          <c:invertIfNegative val="0"/>
          <c:cat>
            <c:strRef>
              <c:f>Sheet1!$A$11:$A$12</c:f>
              <c:strCache>
                <c:ptCount val="2"/>
                <c:pt idx="0">
                  <c:v>% OOS-Suspended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Sheet1!$H$11:$H$12</c:f>
              <c:numCache>
                <c:formatCode>0.0%</c:formatCode>
                <c:ptCount val="2"/>
                <c:pt idx="1">
                  <c:v>2.9000000000000001E-2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96-904B-AE4A-F103207EC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8350639"/>
        <c:axId val="2101881808"/>
      </c:barChart>
      <c:catAx>
        <c:axId val="25835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881808"/>
        <c:crosses val="autoZero"/>
        <c:auto val="1"/>
        <c:lblAlgn val="ctr"/>
        <c:lblOffset val="100"/>
        <c:noMultiLvlLbl val="0"/>
      </c:catAx>
      <c:valAx>
        <c:axId val="210188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35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Percentage of Students Suspended Out-of-School vs Percentage of K-12 </a:t>
            </a:r>
            <a:r>
              <a:rPr lang="en-US" sz="1400" b="0" i="0" u="none" strike="noStrike" kern="1200" spc="0" baseline="0" dirty="0" err="1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Enrollment</a:t>
            </a:r>
            <a:r>
              <a:rPr lang="en-US" sz="1400" b="0" i="0" u="none" strike="noStrike" kern="1200" spc="0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in Illinois by Race/Ethnicity in 2012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Sheet1!$B$14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Sheet1!$A$15:$A$16</c:f>
              <c:strCache>
                <c:ptCount val="2"/>
                <c:pt idx="0">
                  <c:v>% OOS-Suspended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Sheet1!$B$15:$B$16</c:f>
              <c:numCache>
                <c:formatCode>0.0%</c:formatCode>
                <c:ptCount val="2"/>
                <c:pt idx="0">
                  <c:v>3.0000000000000001E-3</c:v>
                </c:pt>
                <c:pt idx="1">
                  <c:v>3.0000000000000001E-3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1-E643-960D-7BE99AE2714F}"/>
            </c:ext>
          </c:extLst>
        </c:ser>
        <c:ser>
          <c:idx val="1"/>
          <c:order val="1"/>
          <c:tx>
            <c:strRef>
              <c:f>Sheet1!$C$14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Sheet1!$A$15:$A$16</c:f>
              <c:strCache>
                <c:ptCount val="2"/>
                <c:pt idx="0">
                  <c:v>% OOS-Suspended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Sheet1!$C$15:$C$16</c:f>
              <c:numCache>
                <c:formatCode>0.0%</c:formatCode>
                <c:ptCount val="2"/>
                <c:pt idx="0">
                  <c:v>8.0000000000000002E-3</c:v>
                </c:pt>
                <c:pt idx="1">
                  <c:v>4.2000000000000003E-2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E1-E643-960D-7BE99AE2714F}"/>
            </c:ext>
          </c:extLst>
        </c:ser>
        <c:ser>
          <c:idx val="2"/>
          <c:order val="2"/>
          <c:tx>
            <c:strRef>
              <c:f>Sheet1!$D$14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Sheet1!$A$15:$A$16</c:f>
              <c:strCache>
                <c:ptCount val="2"/>
                <c:pt idx="0">
                  <c:v>% OOS-Suspended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Sheet1!$D$15:$D$16</c:f>
              <c:numCache>
                <c:formatCode>0.0%</c:formatCode>
                <c:ptCount val="2"/>
                <c:pt idx="0">
                  <c:v>0.19900000000000001</c:v>
                </c:pt>
                <c:pt idx="1">
                  <c:v>0.23599999999999999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E1-E643-960D-7BE99AE2714F}"/>
            </c:ext>
          </c:extLst>
        </c:ser>
        <c:ser>
          <c:idx val="3"/>
          <c:order val="3"/>
          <c:tx>
            <c:strRef>
              <c:f>Sheet1!$E$14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Sheet1!$A$15:$A$16</c:f>
              <c:strCache>
                <c:ptCount val="2"/>
                <c:pt idx="0">
                  <c:v>% OOS-Suspended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Sheet1!$E$15:$E$16</c:f>
              <c:numCache>
                <c:formatCode>0.0%</c:formatCode>
                <c:ptCount val="2"/>
                <c:pt idx="0">
                  <c:v>0.46899999999999997</c:v>
                </c:pt>
                <c:pt idx="1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E1-E643-960D-7BE99AE2714F}"/>
            </c:ext>
          </c:extLst>
        </c:ser>
        <c:ser>
          <c:idx val="4"/>
          <c:order val="4"/>
          <c:tx>
            <c:strRef>
              <c:f>Sheet1!$F$14</c:f>
              <c:strCache>
                <c:ptCount val="1"/>
                <c:pt idx="0">
                  <c:v>White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Sheet1!$A$15:$A$16</c:f>
              <c:strCache>
                <c:ptCount val="2"/>
                <c:pt idx="0">
                  <c:v>% OOS-Suspended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Sheet1!$F$15:$F$16</c:f>
              <c:numCache>
                <c:formatCode>0.0%</c:formatCode>
                <c:ptCount val="2"/>
                <c:pt idx="0">
                  <c:v>0.29299999999999998</c:v>
                </c:pt>
                <c:pt idx="1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E1-E643-960D-7BE99AE2714F}"/>
            </c:ext>
          </c:extLst>
        </c:ser>
        <c:ser>
          <c:idx val="5"/>
          <c:order val="5"/>
          <c:tx>
            <c:strRef>
              <c:f>Sheet1!$G$14</c:f>
              <c:strCache>
                <c:ptCount val="1"/>
                <c:pt idx="0">
                  <c:v>Native Hawaiian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Sheet1!$A$15:$A$16</c:f>
              <c:strCache>
                <c:ptCount val="2"/>
                <c:pt idx="0">
                  <c:v>% OOS-Suspended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Sheet1!$G$15:$G$16</c:f>
              <c:numCache>
                <c:formatCode>0.0%</c:formatCode>
                <c:ptCount val="2"/>
                <c:pt idx="0">
                  <c:v>1E-3</c:v>
                </c:pt>
                <c:pt idx="1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E1-E643-960D-7BE99AE2714F}"/>
            </c:ext>
          </c:extLst>
        </c:ser>
        <c:ser>
          <c:idx val="6"/>
          <c:order val="6"/>
          <c:tx>
            <c:strRef>
              <c:f>Sheet1!$H$14</c:f>
              <c:strCache>
                <c:ptCount val="1"/>
                <c:pt idx="0">
                  <c:v>Two or More Races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Sheet1!$A$15:$A$16</c:f>
              <c:strCache>
                <c:ptCount val="2"/>
                <c:pt idx="0">
                  <c:v>% OOS-Suspended</c:v>
                </c:pt>
                <c:pt idx="1">
                  <c:v>% of K-12 Enrollment</c:v>
                </c:pt>
              </c:strCache>
            </c:strRef>
          </c:cat>
          <c:val>
            <c:numRef>
              <c:f>Sheet1!$H$15:$H$16</c:f>
              <c:numCache>
                <c:formatCode>0.0%</c:formatCode>
                <c:ptCount val="2"/>
                <c:pt idx="0">
                  <c:v>2.8000000000000001E-2</c:v>
                </c:pt>
                <c:pt idx="1">
                  <c:v>2.8000000000000001E-2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E1-E643-960D-7BE99AE27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3781135"/>
        <c:axId val="264185903"/>
      </c:barChart>
      <c:catAx>
        <c:axId val="26378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85903"/>
        <c:crosses val="autoZero"/>
        <c:auto val="1"/>
        <c:lblAlgn val="ctr"/>
        <c:lblOffset val="100"/>
        <c:noMultiLvlLbl val="0"/>
      </c:catAx>
      <c:valAx>
        <c:axId val="26418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78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Race/ Ethnicity of students who were Suspended Out-of-School in Illinois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Sheet1!$C$46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Sheet1!$B$47:$B$52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Sheet1!$C$47:$C$52</c:f>
              <c:numCache>
                <c:formatCode>#,##0.0_)</c:formatCode>
                <c:ptCount val="6"/>
                <c:pt idx="0" formatCode="General">
                  <c:v>0.3</c:v>
                </c:pt>
                <c:pt idx="1">
                  <c:v>0.257248424967844</c:v>
                </c:pt>
                <c:pt idx="2">
                  <c:v>0.2</c:v>
                </c:pt>
                <c:pt idx="3">
                  <c:v>0.24</c:v>
                </c:pt>
                <c:pt idx="4">
                  <c:v>0.2208</c:v>
                </c:pt>
                <c:pt idx="5" formatCode="General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1-1B4C-9768-FFA1E83A3E27}"/>
            </c:ext>
          </c:extLst>
        </c:ser>
        <c:ser>
          <c:idx val="1"/>
          <c:order val="1"/>
          <c:tx>
            <c:strRef>
              <c:f>Sheet1!$D$46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Sheet1!$B$47:$B$52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Sheet1!$D$47:$D$52</c:f>
              <c:numCache>
                <c:formatCode>#,##0.0_)</c:formatCode>
                <c:ptCount val="6"/>
                <c:pt idx="0" formatCode="General">
                  <c:v>0.9</c:v>
                </c:pt>
                <c:pt idx="1">
                  <c:v>0.81352766239830898</c:v>
                </c:pt>
                <c:pt idx="2">
                  <c:v>0.6</c:v>
                </c:pt>
                <c:pt idx="3">
                  <c:v>0.71040000000000003</c:v>
                </c:pt>
                <c:pt idx="4">
                  <c:v>0.68940000000000001</c:v>
                </c:pt>
                <c:pt idx="5" formatCode="General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D1-1B4C-9768-FFA1E83A3E27}"/>
            </c:ext>
          </c:extLst>
        </c:ser>
        <c:ser>
          <c:idx val="2"/>
          <c:order val="2"/>
          <c:tx>
            <c:strRef>
              <c:f>Sheet1!$E$46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Sheet1!$B$47:$B$52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Sheet1!$E$47:$E$52</c:f>
              <c:numCache>
                <c:formatCode>#,##0.0_)</c:formatCode>
                <c:ptCount val="6"/>
                <c:pt idx="0" formatCode="General">
                  <c:v>18.8</c:v>
                </c:pt>
                <c:pt idx="1">
                  <c:v>19.8925127600134</c:v>
                </c:pt>
                <c:pt idx="2">
                  <c:v>19.600000000000001</c:v>
                </c:pt>
                <c:pt idx="3">
                  <c:v>19.228000000000002</c:v>
                </c:pt>
                <c:pt idx="4">
                  <c:v>19.044</c:v>
                </c:pt>
                <c:pt idx="5" formatCode="General">
                  <c:v>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D1-1B4C-9768-FFA1E83A3E27}"/>
            </c:ext>
          </c:extLst>
        </c:ser>
        <c:ser>
          <c:idx val="3"/>
          <c:order val="3"/>
          <c:tx>
            <c:strRef>
              <c:f>Sheet1!$F$46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Sheet1!$B$47:$B$52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Sheet1!$F$47:$F$52</c:f>
              <c:numCache>
                <c:formatCode>#,##0.0_)</c:formatCode>
                <c:ptCount val="6"/>
                <c:pt idx="0" formatCode="General">
                  <c:v>49</c:v>
                </c:pt>
                <c:pt idx="1">
                  <c:v>46.8995010691376</c:v>
                </c:pt>
                <c:pt idx="2">
                  <c:v>56</c:v>
                </c:pt>
                <c:pt idx="3">
                  <c:v>48.302599999999998</c:v>
                </c:pt>
                <c:pt idx="4">
                  <c:v>47.533900000000003</c:v>
                </c:pt>
                <c:pt idx="5" formatCode="General">
                  <c:v>18.8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D1-1B4C-9768-FFA1E83A3E27}"/>
            </c:ext>
          </c:extLst>
        </c:ser>
        <c:ser>
          <c:idx val="4"/>
          <c:order val="4"/>
          <c:tx>
            <c:strRef>
              <c:f>Sheet1!$G$46</c:f>
              <c:strCache>
                <c:ptCount val="1"/>
                <c:pt idx="0">
                  <c:v>White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Sheet1!$B$47:$B$52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Sheet1!$G$47:$G$52</c:f>
              <c:numCache>
                <c:formatCode>#,##0.0_)</c:formatCode>
                <c:ptCount val="6"/>
                <c:pt idx="0">
                  <c:v>37.299999999999997</c:v>
                </c:pt>
                <c:pt idx="1">
                  <c:v>29.318127821335199</c:v>
                </c:pt>
                <c:pt idx="2">
                  <c:v>21</c:v>
                </c:pt>
                <c:pt idx="3">
                  <c:v>27.469899999999999</c:v>
                </c:pt>
                <c:pt idx="4">
                  <c:v>27.877400000000002</c:v>
                </c:pt>
                <c:pt idx="5" formatCode="General">
                  <c:v>58.5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D1-1B4C-9768-FFA1E83A3E27}"/>
            </c:ext>
          </c:extLst>
        </c:ser>
        <c:ser>
          <c:idx val="5"/>
          <c:order val="5"/>
          <c:tx>
            <c:strRef>
              <c:f>Sheet1!$H$46</c:f>
              <c:strCache>
                <c:ptCount val="1"/>
                <c:pt idx="0">
                  <c:v>Native Hawaiian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Sheet1!$B$47:$B$52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Sheet1!$H$47:$H$52</c:f>
              <c:numCache>
                <c:formatCode>#,##0.0_)</c:formatCode>
                <c:ptCount val="6"/>
                <c:pt idx="1">
                  <c:v>5.7348374992831498E-2</c:v>
                </c:pt>
                <c:pt idx="2">
                  <c:v>0.1</c:v>
                </c:pt>
                <c:pt idx="3">
                  <c:v>7.1900000000000006E-2</c:v>
                </c:pt>
                <c:pt idx="4">
                  <c:v>6.4100000000000004E-2</c:v>
                </c:pt>
                <c:pt idx="5" formatCode="General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ED1-1B4C-9768-FFA1E83A3E27}"/>
            </c:ext>
          </c:extLst>
        </c:ser>
        <c:ser>
          <c:idx val="6"/>
          <c:order val="6"/>
          <c:tx>
            <c:strRef>
              <c:f>Sheet1!$I$46</c:f>
              <c:strCache>
                <c:ptCount val="1"/>
                <c:pt idx="0">
                  <c:v>Two or More Races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Sheet1!$B$47:$B$52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Sheet1!$I$47:$I$52</c:f>
              <c:numCache>
                <c:formatCode>#,##0.0_)</c:formatCode>
                <c:ptCount val="6"/>
                <c:pt idx="1">
                  <c:v>2.7617338871547799</c:v>
                </c:pt>
                <c:pt idx="2">
                  <c:v>2.5</c:v>
                </c:pt>
                <c:pt idx="3">
                  <c:v>3.9771999999999998</c:v>
                </c:pt>
                <c:pt idx="4">
                  <c:v>4.5705</c:v>
                </c:pt>
                <c:pt idx="5" formatCode="General">
                  <c:v>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D1-1B4C-9768-FFA1E83A3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2079920"/>
        <c:axId val="1793715520"/>
      </c:barChart>
      <c:catAx>
        <c:axId val="121207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715520"/>
        <c:crosses val="autoZero"/>
        <c:auto val="1"/>
        <c:lblAlgn val="ctr"/>
        <c:lblOffset val="100"/>
        <c:noMultiLvlLbl val="0"/>
      </c:catAx>
      <c:valAx>
        <c:axId val="179371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07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Percentage of Black Students among Total Students Suspended Out-of-School in Illinois vs 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Sheet1!$N$65</c:f>
              <c:strCache>
                <c:ptCount val="1"/>
                <c:pt idx="0">
                  <c:v>Illinois Black Female WOD</c:v>
                </c:pt>
              </c:strCache>
            </c:strRef>
          </c:tx>
          <c:spPr>
            <a:ln w="28575" cap="rnd">
              <a:solidFill>
                <a:srgbClr val="FF751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751C"/>
              </a:solidFill>
              <a:ln w="9525">
                <a:solidFill>
                  <a:srgbClr val="FF751C"/>
                </a:solidFill>
              </a:ln>
              <a:effectLst/>
            </c:spPr>
          </c:marker>
          <c:dLbls>
            <c:spPr>
              <a:solidFill>
                <a:srgbClr val="FF751C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Sheet1!$M$66:$M$71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Sheet1!$N$66:$N$71</c:f>
              <c:numCache>
                <c:formatCode>0.0%</c:formatCode>
                <c:ptCount val="6"/>
                <c:pt idx="0">
                  <c:v>0.59599999999999997</c:v>
                </c:pt>
                <c:pt idx="1">
                  <c:v>0.20200000000000001</c:v>
                </c:pt>
                <c:pt idx="2">
                  <c:v>0.63100000000000001</c:v>
                </c:pt>
                <c:pt idx="3">
                  <c:v>0.57399999999999995</c:v>
                </c:pt>
                <c:pt idx="5">
                  <c:v>0.21809999999999999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29-E54F-8F80-0BC9E9D54E22}"/>
            </c:ext>
          </c:extLst>
        </c:ser>
        <c:ser>
          <c:idx val="1"/>
          <c:order val="1"/>
          <c:tx>
            <c:strRef>
              <c:f>Sheet1!$O$65</c:f>
              <c:strCache>
                <c:ptCount val="1"/>
                <c:pt idx="0">
                  <c:v>National Black Female WOD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  <a:prstDash val="sysDash"/>
              </a:ln>
              <a:effectLst/>
            </c:spPr>
          </c:marker>
          <c:dLbls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Sheet1!$M$66:$M$71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Sheet1!$O$66:$O$71</c:f>
              <c:numCache>
                <c:formatCode>0.0%</c:formatCode>
                <c:ptCount val="6"/>
                <c:pt idx="0">
                  <c:v>0.51500000000000001</c:v>
                </c:pt>
                <c:pt idx="1">
                  <c:v>0.15</c:v>
                </c:pt>
                <c:pt idx="2">
                  <c:v>0.47499999999999998</c:v>
                </c:pt>
                <c:pt idx="3">
                  <c:v>0.48</c:v>
                </c:pt>
                <c:pt idx="5">
                  <c:v>0.1021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29-E54F-8F80-0BC9E9D54E2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03656799"/>
        <c:axId val="574476287"/>
      </c:lineChart>
      <c:catAx>
        <c:axId val="70365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476287"/>
        <c:crosses val="autoZero"/>
        <c:auto val="1"/>
        <c:lblAlgn val="ctr"/>
        <c:lblOffset val="100"/>
        <c:noMultiLvlLbl val="0"/>
      </c:catAx>
      <c:valAx>
        <c:axId val="57447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65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Percentage of Latinx Students among Total Students Suspended Out-of-School in Illinois vs 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Sheet1!$N$143</c:f>
              <c:strCache>
                <c:ptCount val="1"/>
                <c:pt idx="0">
                  <c:v>Illinois Latinx Female WOD</c:v>
                </c:pt>
              </c:strCache>
            </c:strRef>
          </c:tx>
          <c:spPr>
            <a:ln w="28575" cap="rnd">
              <a:solidFill>
                <a:srgbClr val="AEAEA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AEAEAE"/>
              </a:solidFill>
              <a:ln w="9525">
                <a:solidFill>
                  <a:srgbClr val="AEAEAE"/>
                </a:solidFill>
              </a:ln>
              <a:effectLst/>
            </c:spPr>
          </c:marker>
          <c:dLbls>
            <c:spPr>
              <a:solidFill>
                <a:srgbClr val="AEAEAE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Sheet1!$M$144:$M$149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Sheet1!$N$144:$N$149</c:f>
              <c:numCache>
                <c:formatCode>0.0%</c:formatCode>
                <c:ptCount val="6"/>
                <c:pt idx="0">
                  <c:v>0.192</c:v>
                </c:pt>
                <c:pt idx="1">
                  <c:v>7.2999999999999995E-2</c:v>
                </c:pt>
                <c:pt idx="2">
                  <c:v>0.183</c:v>
                </c:pt>
                <c:pt idx="3">
                  <c:v>0.183</c:v>
                </c:pt>
                <c:pt idx="5">
                  <c:v>0.13270000000000001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79-6545-AA57-6716323D070C}"/>
            </c:ext>
          </c:extLst>
        </c:ser>
        <c:ser>
          <c:idx val="1"/>
          <c:order val="1"/>
          <c:tx>
            <c:strRef>
              <c:f>Sheet1!$O$143</c:f>
              <c:strCache>
                <c:ptCount val="1"/>
                <c:pt idx="0">
                  <c:v>National Latinx Female WOD</c:v>
                </c:pt>
              </c:strCache>
            </c:strRef>
          </c:tx>
          <c:spPr>
            <a:ln w="28575" cap="rnd">
              <a:solidFill>
                <a:srgbClr val="AEAEAE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AEAEAE"/>
              </a:solidFill>
              <a:ln w="9525">
                <a:solidFill>
                  <a:srgbClr val="AEAEAE"/>
                </a:solidFill>
                <a:prstDash val="sysDash"/>
              </a:ln>
              <a:effectLst/>
            </c:spPr>
          </c:marker>
          <c:dLbls>
            <c:spPr>
              <a:solidFill>
                <a:srgbClr val="AEAEAE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Sheet1!$M$144:$M$149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Sheet1!$O$144:$O$149</c:f>
              <c:numCache>
                <c:formatCode>0.0%</c:formatCode>
                <c:ptCount val="6"/>
                <c:pt idx="0">
                  <c:v>0.20699999999999999</c:v>
                </c:pt>
                <c:pt idx="1">
                  <c:v>7.0000000000000007E-2</c:v>
                </c:pt>
                <c:pt idx="2">
                  <c:v>0.20899999999999999</c:v>
                </c:pt>
                <c:pt idx="3">
                  <c:v>0.21199999999999999</c:v>
                </c:pt>
                <c:pt idx="5">
                  <c:v>4.2900000000000001E-2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79-6545-AA57-6716323D070C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33573792"/>
        <c:axId val="1712676463"/>
      </c:lineChart>
      <c:catAx>
        <c:axId val="133357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676463"/>
        <c:crosses val="autoZero"/>
        <c:auto val="1"/>
        <c:lblAlgn val="ctr"/>
        <c:lblOffset val="100"/>
        <c:noMultiLvlLbl val="0"/>
      </c:catAx>
      <c:valAx>
        <c:axId val="171267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57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Number of Students Suspended Out-of-School in Illinois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Sheet2!$A$27:$A$32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Sheet2!$B$27:$B$32</c:f>
              <c:numCache>
                <c:formatCode>#,##0_)</c:formatCode>
                <c:ptCount val="6"/>
                <c:pt idx="0" formatCode="General">
                  <c:v>52012</c:v>
                </c:pt>
                <c:pt idx="1">
                  <c:v>122860</c:v>
                </c:pt>
                <c:pt idx="2">
                  <c:v>139521</c:v>
                </c:pt>
                <c:pt idx="3">
                  <c:v>83794</c:v>
                </c:pt>
                <c:pt idx="4">
                  <c:v>72289</c:v>
                </c:pt>
                <c:pt idx="5" formatCode="General">
                  <c:v>9465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BB-D74E-84BC-C279BA93B7C8}"/>
            </c:ext>
          </c:extLst>
        </c:ser>
        <c:ser>
          <c:idx val="1"/>
          <c:order val="1"/>
          <c:tx>
            <c:strRef>
              <c:f>Sheet2!$C$26</c:f>
              <c:strCache>
                <c:ptCount val="1"/>
                <c:pt idx="0">
                  <c:v>Male 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Sheet2!$A$27:$A$32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Sheet2!$C$27:$C$32</c:f>
              <c:numCache>
                <c:formatCode>#,##0_)</c:formatCode>
                <c:ptCount val="6"/>
                <c:pt idx="0" formatCode="General">
                  <c:v>35164</c:v>
                </c:pt>
                <c:pt idx="1">
                  <c:v>81884</c:v>
                </c:pt>
                <c:pt idx="2">
                  <c:v>94651</c:v>
                </c:pt>
                <c:pt idx="3">
                  <c:v>56618</c:v>
                </c:pt>
                <c:pt idx="4">
                  <c:v>49295</c:v>
                </c:pt>
                <c:pt idx="5" formatCode="General">
                  <c:v>6819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BB-D74E-84BC-C279BA93B7C8}"/>
            </c:ext>
          </c:extLst>
        </c:ser>
        <c:ser>
          <c:idx val="2"/>
          <c:order val="2"/>
          <c:tx>
            <c:strRef>
              <c:f>Sheet2!$D$26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Sheet2!$A$27:$A$32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Sheet2!$D$27:$D$32</c:f>
              <c:numCache>
                <c:formatCode>#,##0_)</c:formatCode>
                <c:ptCount val="6"/>
                <c:pt idx="0" formatCode="General">
                  <c:v>16849</c:v>
                </c:pt>
                <c:pt idx="1">
                  <c:v>40976</c:v>
                </c:pt>
                <c:pt idx="2">
                  <c:v>44870</c:v>
                </c:pt>
                <c:pt idx="3">
                  <c:v>27176</c:v>
                </c:pt>
                <c:pt idx="4">
                  <c:v>22994</c:v>
                </c:pt>
                <c:pt idx="5" formatCode="General">
                  <c:v>2646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BB-D74E-84BC-C279BA93B7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15180303"/>
        <c:axId val="2101467280"/>
      </c:barChart>
      <c:catAx>
        <c:axId val="31518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467280"/>
        <c:crosses val="autoZero"/>
        <c:auto val="1"/>
        <c:lblAlgn val="ctr"/>
        <c:lblOffset val="100"/>
        <c:noMultiLvlLbl val="0"/>
      </c:catAx>
      <c:valAx>
        <c:axId val="210146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180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Percentage of Students with and without </a:t>
            </a:r>
            <a:r>
              <a:rPr lang="en-US" sz="1400" b="0" i="0" u="none" strike="noStrike" kern="1200" spc="0" baseline="0" dirty="0" err="1">
                <a:solidFill>
                  <a:prstClr val="black">
                    <a:lumMod val="65000"/>
                    <a:lumOff val="35000"/>
                  </a:prstClr>
                </a:solidFill>
              </a:rPr>
              <a:t>Disabilities</a:t>
            </a:r>
            <a:r>
              <a:rPr lang="en-US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 who served </a:t>
            </a:r>
            <a:r>
              <a:rPr lang="en-US" sz="1400" b="0" i="0" u="none" strike="noStrike" kern="1200" spc="0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Out-of-School Suspension</a:t>
            </a:r>
            <a:r>
              <a:rPr lang="en-US" sz="1100" b="0" i="0" u="none" strike="noStrike" kern="1200" spc="0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under IDEA in Illinois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Sheet2!$B$68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Sheet2!$A$69:$A$74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Sheet2!$B$69:$B$74</c:f>
              <c:numCache>
                <c:formatCode>0.0%</c:formatCode>
                <c:ptCount val="6"/>
                <c:pt idx="0">
                  <c:v>0.998</c:v>
                </c:pt>
                <c:pt idx="1">
                  <c:v>0.99299999999999999</c:v>
                </c:pt>
                <c:pt idx="2">
                  <c:v>0.98199999999999998</c:v>
                </c:pt>
                <c:pt idx="3">
                  <c:v>0.97899999999999998</c:v>
                </c:pt>
                <c:pt idx="4">
                  <c:v>0.97099999999999997</c:v>
                </c:pt>
                <c:pt idx="5">
                  <c:v>0.97399999999999998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2-FC41-9BBE-F4AC653CD43A}"/>
            </c:ext>
          </c:extLst>
        </c:ser>
        <c:ser>
          <c:idx val="1"/>
          <c:order val="1"/>
          <c:tx>
            <c:strRef>
              <c:f>Sheet2!$C$68</c:f>
              <c:strCache>
                <c:ptCount val="1"/>
                <c:pt idx="0">
                  <c:v>Male 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Sheet2!$A$69:$A$74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Sheet2!$C$69:$C$74</c:f>
              <c:numCache>
                <c:formatCode>0.0%</c:formatCode>
                <c:ptCount val="6"/>
                <c:pt idx="0">
                  <c:v>0.67372913942936241</c:v>
                </c:pt>
                <c:pt idx="1">
                  <c:v>0.66159042812957836</c:v>
                </c:pt>
                <c:pt idx="2">
                  <c:v>0.66562022921280672</c:v>
                </c:pt>
                <c:pt idx="3">
                  <c:v>0.66048881781511803</c:v>
                </c:pt>
                <c:pt idx="4">
                  <c:v>0.66051543111676747</c:v>
                </c:pt>
                <c:pt idx="5">
                  <c:v>0.69952456418383513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22-FC41-9BBE-F4AC653CD43A}"/>
            </c:ext>
          </c:extLst>
        </c:ser>
        <c:ser>
          <c:idx val="2"/>
          <c:order val="2"/>
          <c:tx>
            <c:strRef>
              <c:f>Sheet2!$D$68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Sheet2!$A$69:$A$74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Sheet2!$D$69:$D$74</c:f>
              <c:numCache>
                <c:formatCode>0.0%</c:formatCode>
                <c:ptCount val="6"/>
                <c:pt idx="0">
                  <c:v>0.32394447435207258</c:v>
                </c:pt>
                <c:pt idx="1">
                  <c:v>0.33190623473872699</c:v>
                </c:pt>
                <c:pt idx="2">
                  <c:v>0.3168770292644118</c:v>
                </c:pt>
                <c:pt idx="3">
                  <c:v>0.31891304866696901</c:v>
                </c:pt>
                <c:pt idx="4">
                  <c:v>0.31073883993415319</c:v>
                </c:pt>
                <c:pt idx="5">
                  <c:v>0.27416798732171155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22-FC41-9BBE-F4AC653CD43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50753151"/>
        <c:axId val="1851559679"/>
      </c:barChart>
      <c:catAx>
        <c:axId val="185075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559679"/>
        <c:crosses val="autoZero"/>
        <c:auto val="1"/>
        <c:lblAlgn val="ctr"/>
        <c:lblOffset val="100"/>
        <c:noMultiLvlLbl val="0"/>
      </c:catAx>
      <c:valAx>
        <c:axId val="185155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75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Percentage of English Learners Suspended Out-of-School vs Percentage of English Learners in 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Sheet2!$C$108</c:f>
              <c:strCache>
                <c:ptCount val="1"/>
                <c:pt idx="0">
                  <c:v>% OOS-Suspended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Sheet2!$A$109:$A$114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Sheet2!$C$109:$C$114</c:f>
              <c:numCache>
                <c:formatCode>0.0%</c:formatCode>
                <c:ptCount val="6"/>
                <c:pt idx="0">
                  <c:v>2.7E-2</c:v>
                </c:pt>
                <c:pt idx="1">
                  <c:v>4.2000000000000003E-2</c:v>
                </c:pt>
                <c:pt idx="2">
                  <c:v>4.1000000000000002E-2</c:v>
                </c:pt>
                <c:pt idx="3">
                  <c:v>4.9000000000000002E-2</c:v>
                </c:pt>
                <c:pt idx="4">
                  <c:v>5.1999999999999998E-2</c:v>
                </c:pt>
                <c:pt idx="5">
                  <c:v>4.7E-2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FF-0C48-A7E6-9E2C8D5A7C75}"/>
            </c:ext>
          </c:extLst>
        </c:ser>
        <c:ser>
          <c:idx val="1"/>
          <c:order val="1"/>
          <c:tx>
            <c:strRef>
              <c:f>Sheet2!$D$108</c:f>
              <c:strCache>
                <c:ptCount val="1"/>
                <c:pt idx="0">
                  <c:v>% of EL in K-12 Enrollment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Sheet2!$A$109:$A$114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Sheet2!$D$109:$D$114</c:f>
              <c:numCache>
                <c:formatCode>0.0%</c:formatCode>
                <c:ptCount val="6"/>
                <c:pt idx="0">
                  <c:v>7.5999999999999998E-2</c:v>
                </c:pt>
                <c:pt idx="1">
                  <c:v>9.4E-2</c:v>
                </c:pt>
                <c:pt idx="2">
                  <c:v>9.5000000000000001E-2</c:v>
                </c:pt>
                <c:pt idx="3">
                  <c:v>0.105</c:v>
                </c:pt>
                <c:pt idx="4">
                  <c:v>0.11700000000000001</c:v>
                </c:pt>
                <c:pt idx="5">
                  <c:v>0.129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FF-0C48-A7E6-9E2C8D5A7C7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60710943"/>
        <c:axId val="1861297583"/>
      </c:barChart>
      <c:catAx>
        <c:axId val="186071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297583"/>
        <c:crosses val="autoZero"/>
        <c:auto val="1"/>
        <c:lblAlgn val="ctr"/>
        <c:lblOffset val="100"/>
        <c:noMultiLvlLbl val="0"/>
      </c:catAx>
      <c:valAx>
        <c:axId val="186129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71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 sz="1400"/>
            </a:pPr>
            <a:r>
              <a:rPr lang="en-US" sz="1400" b="0" i="0" baseline="0">
                <a:effectLst/>
              </a:rPr>
              <a:t>Percentage of Students Suspended Out-of-School in Illinois</a:t>
            </a:r>
            <a:endParaRPr lang="en-US" sz="1400">
              <a:effectLst/>
            </a:endParaRPr>
          </a:p>
        </cx:rich>
      </cx:tx>
    </cx:title>
    <cx:plotArea>
      <cx:plotAreaRegion>
        <cx:series layoutId="funnel" uniqueId="{E29B3132-1A29-0649-BDCC-ABF68E3BF405}">
          <cx:tx>
            <cx:txData>
              <cx:f>_xlchart.v2.1</cx:f>
              <cx:v>% of Students Expelled in IL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microsoft.com/office/2014/relationships/chartEx" Target="../charts/chartEx1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717550</xdr:colOff>
      <xdr:row>43</xdr:row>
      <xdr:rowOff>44450</xdr:rowOff>
    </xdr:from>
    <xdr:to>
      <xdr:col>31</xdr:col>
      <xdr:colOff>336550</xdr:colOff>
      <xdr:row>56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28B971-1A8E-A15C-F0A4-8CCBD70309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425450</xdr:colOff>
      <xdr:row>5</xdr:row>
      <xdr:rowOff>95250</xdr:rowOff>
    </xdr:from>
    <xdr:to>
      <xdr:col>16</xdr:col>
      <xdr:colOff>44450</xdr:colOff>
      <xdr:row>18</xdr:row>
      <xdr:rowOff>196850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94D5A3-8511-9620-B8F9-6F5E491088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374650</xdr:colOff>
      <xdr:row>19</xdr:row>
      <xdr:rowOff>171450</xdr:rowOff>
    </xdr:from>
    <xdr:to>
      <xdr:col>15</xdr:col>
      <xdr:colOff>819150</xdr:colOff>
      <xdr:row>33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3B5193-15CD-0B63-0933-182F9A44A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260350</xdr:colOff>
      <xdr:row>45</xdr:row>
      <xdr:rowOff>69850</xdr:rowOff>
    </xdr:from>
    <xdr:to>
      <xdr:col>15</xdr:col>
      <xdr:colOff>704850</xdr:colOff>
      <xdr:row>58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804A34-5A89-1FAA-B502-CC11097328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323850</xdr:colOff>
      <xdr:row>73</xdr:row>
      <xdr:rowOff>44450</xdr:rowOff>
    </xdr:from>
    <xdr:to>
      <xdr:col>18</xdr:col>
      <xdr:colOff>768350</xdr:colOff>
      <xdr:row>86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93F593-A544-95C7-82F4-346BCD3447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488950</xdr:colOff>
      <xdr:row>151</xdr:row>
      <xdr:rowOff>133350</xdr:rowOff>
    </xdr:from>
    <xdr:to>
      <xdr:col>17</xdr:col>
      <xdr:colOff>107950</xdr:colOff>
      <xdr:row>164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78C95BA-9017-896F-F715-00B9BDEAE1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374650</xdr:colOff>
      <xdr:row>1</xdr:row>
      <xdr:rowOff>184150</xdr:rowOff>
    </xdr:from>
    <xdr:to>
      <xdr:col>13</xdr:col>
      <xdr:colOff>0</xdr:colOff>
      <xdr:row>16</xdr:row>
      <xdr:rowOff>177800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4D16B56-F0DE-B86D-431C-2C66C732BB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27650" y="387350"/>
              <a:ext cx="5403850" cy="3117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44450</xdr:colOff>
      <xdr:row>19</xdr:row>
      <xdr:rowOff>158750</xdr:rowOff>
    </xdr:from>
    <xdr:to>
      <xdr:col>11</xdr:col>
      <xdr:colOff>488950</xdr:colOff>
      <xdr:row>33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AF3C86-C65F-D078-6186-D10938658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298450</xdr:colOff>
      <xdr:row>65</xdr:row>
      <xdr:rowOff>44450</xdr:rowOff>
    </xdr:from>
    <xdr:to>
      <xdr:col>13</xdr:col>
      <xdr:colOff>742950</xdr:colOff>
      <xdr:row>78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0549F9-4340-7FE3-9762-F39DD286AF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298450</xdr:colOff>
      <xdr:row>107</xdr:row>
      <xdr:rowOff>146050</xdr:rowOff>
    </xdr:from>
    <xdr:to>
      <xdr:col>13</xdr:col>
      <xdr:colOff>742950</xdr:colOff>
      <xdr:row>120</xdr:row>
      <xdr:rowOff>196850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5B98CB-092A-59C9-E60E-20808B328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A5ED7-F740-5E4B-807A-C66A536F8B3B}">
  <dimension ref="A1:X194"/>
  <sheetViews>
    <sheetView topLeftCell="A163" workbookViewId="0">
      <selection activeCell="M168" sqref="M168"/>
    </sheetView>
  </sheetViews>
  <sheetFormatPr baseColWidth="10" defaultRowHeight="16"/>
  <cols>
    <col min="1" max="1" width="18.33203125" customWidth="1"/>
    <col min="2" max="2" width="14.5" customWidth="1"/>
    <col min="3" max="3" width="14.83203125" customWidth="1"/>
    <col min="4" max="4" width="13.1640625" customWidth="1"/>
    <col min="5" max="5" width="15" customWidth="1"/>
    <col min="6" max="6" width="14.5" customWidth="1"/>
    <col min="7" max="7" width="14.1640625" customWidth="1"/>
    <col min="8" max="8" width="16.1640625" customWidth="1"/>
    <col min="9" max="9" width="14.6640625" customWidth="1"/>
    <col min="10" max="10" width="12" customWidth="1"/>
  </cols>
  <sheetData>
    <row r="1" spans="1:24">
      <c r="A1" t="s">
        <v>18</v>
      </c>
      <c r="B1" s="131" t="s">
        <v>49</v>
      </c>
      <c r="C1" s="131" t="s">
        <v>50</v>
      </c>
      <c r="D1" s="131" t="s">
        <v>51</v>
      </c>
      <c r="E1" s="131" t="s">
        <v>52</v>
      </c>
      <c r="F1" s="131" t="s">
        <v>53</v>
      </c>
      <c r="G1" s="131" t="s">
        <v>54</v>
      </c>
      <c r="H1" s="131" t="s">
        <v>55</v>
      </c>
      <c r="I1" s="131" t="s">
        <v>56</v>
      </c>
      <c r="J1" s="131" t="s">
        <v>57</v>
      </c>
    </row>
    <row r="2" spans="1:24">
      <c r="A2" t="s">
        <v>35</v>
      </c>
      <c r="B2">
        <v>52.8</v>
      </c>
      <c r="C2">
        <v>4.2</v>
      </c>
      <c r="D2">
        <v>18.8</v>
      </c>
      <c r="E2">
        <v>21.1</v>
      </c>
      <c r="F2">
        <v>0.2</v>
      </c>
      <c r="H2">
        <v>2.9</v>
      </c>
      <c r="I2">
        <v>7.6</v>
      </c>
    </row>
    <row r="3" spans="1:24">
      <c r="A3" t="s">
        <v>30</v>
      </c>
      <c r="B3">
        <v>51</v>
      </c>
      <c r="C3">
        <v>4.2</v>
      </c>
      <c r="D3">
        <v>18</v>
      </c>
      <c r="E3">
        <v>23.6</v>
      </c>
      <c r="F3">
        <v>0.3</v>
      </c>
      <c r="G3">
        <v>0.1</v>
      </c>
      <c r="H3">
        <v>2.8</v>
      </c>
      <c r="I3">
        <v>9.4</v>
      </c>
    </row>
    <row r="4" spans="1:24">
      <c r="A4" t="s">
        <v>29</v>
      </c>
      <c r="B4">
        <v>49.9</v>
      </c>
      <c r="C4">
        <v>4.5</v>
      </c>
      <c r="D4">
        <v>17.5</v>
      </c>
      <c r="E4">
        <v>24.6</v>
      </c>
      <c r="F4">
        <v>0.3</v>
      </c>
      <c r="G4">
        <v>0.1</v>
      </c>
      <c r="H4">
        <v>3.1</v>
      </c>
      <c r="I4">
        <v>9.5</v>
      </c>
    </row>
    <row r="5" spans="1:24">
      <c r="A5" t="s">
        <v>20</v>
      </c>
      <c r="B5">
        <v>48.8</v>
      </c>
      <c r="C5">
        <v>4.7</v>
      </c>
      <c r="D5">
        <v>17.3</v>
      </c>
      <c r="E5">
        <v>25.5</v>
      </c>
      <c r="F5">
        <v>0.3</v>
      </c>
      <c r="G5">
        <v>0.1</v>
      </c>
      <c r="H5">
        <v>3.2</v>
      </c>
      <c r="I5">
        <v>10.5</v>
      </c>
    </row>
    <row r="6" spans="1:24">
      <c r="A6" t="s">
        <v>19</v>
      </c>
      <c r="B6">
        <v>48</v>
      </c>
      <c r="C6">
        <v>5.0999999999999996</v>
      </c>
      <c r="D6">
        <v>16.8</v>
      </c>
      <c r="E6">
        <v>26.2</v>
      </c>
      <c r="F6">
        <v>0.3</v>
      </c>
      <c r="G6">
        <v>0.1</v>
      </c>
      <c r="H6">
        <v>3.5</v>
      </c>
      <c r="I6">
        <v>11.7</v>
      </c>
    </row>
    <row r="7" spans="1:24">
      <c r="A7" t="s">
        <v>34</v>
      </c>
      <c r="B7">
        <v>46.7</v>
      </c>
      <c r="C7">
        <v>5.4</v>
      </c>
      <c r="D7">
        <v>16.600000000000001</v>
      </c>
      <c r="E7">
        <v>27</v>
      </c>
      <c r="F7">
        <v>0.2</v>
      </c>
      <c r="G7">
        <v>0.1</v>
      </c>
      <c r="H7">
        <v>3.9</v>
      </c>
      <c r="I7">
        <v>12.9</v>
      </c>
      <c r="J7">
        <v>18.3</v>
      </c>
    </row>
    <row r="10" spans="1:24">
      <c r="A10">
        <v>2010</v>
      </c>
      <c r="B10" t="s">
        <v>40</v>
      </c>
      <c r="C10" t="s">
        <v>9</v>
      </c>
      <c r="D10" t="s">
        <v>58</v>
      </c>
      <c r="E10" t="s">
        <v>41</v>
      </c>
      <c r="F10" t="s">
        <v>59</v>
      </c>
      <c r="G10" t="s">
        <v>60</v>
      </c>
      <c r="H10" t="s">
        <v>61</v>
      </c>
    </row>
    <row r="11" spans="1:24">
      <c r="A11" t="s">
        <v>63</v>
      </c>
      <c r="B11" s="135">
        <v>3.0000000000000001E-3</v>
      </c>
      <c r="C11" s="135">
        <v>8.9999999999999993E-3</v>
      </c>
      <c r="D11" s="135">
        <v>0.188</v>
      </c>
      <c r="E11" s="135">
        <v>0.49</v>
      </c>
      <c r="F11" s="135">
        <v>0.373</v>
      </c>
      <c r="G11" s="135"/>
      <c r="H11" s="135"/>
    </row>
    <row r="12" spans="1:24">
      <c r="A12" t="s">
        <v>62</v>
      </c>
      <c r="B12" s="132">
        <v>2E-3</v>
      </c>
      <c r="C12" s="132">
        <v>4.2000000000000003E-2</v>
      </c>
      <c r="D12" s="132">
        <v>0.21099999999999999</v>
      </c>
      <c r="E12" s="132">
        <v>0.188</v>
      </c>
      <c r="F12" s="132">
        <v>0.52800000000000002</v>
      </c>
      <c r="G12" s="132"/>
      <c r="H12" s="132">
        <v>2.9000000000000001E-2</v>
      </c>
    </row>
    <row r="13" spans="1:24">
      <c r="B13" s="132"/>
      <c r="C13" s="132"/>
      <c r="D13" s="132"/>
      <c r="E13" s="132"/>
      <c r="F13" s="132"/>
      <c r="G13" s="132"/>
      <c r="H13" s="132"/>
    </row>
    <row r="14" spans="1:24">
      <c r="A14">
        <v>2012</v>
      </c>
      <c r="B14" s="132" t="s">
        <v>40</v>
      </c>
      <c r="C14" s="132" t="s">
        <v>9</v>
      </c>
      <c r="D14" s="132" t="s">
        <v>58</v>
      </c>
      <c r="E14" s="132" t="s">
        <v>41</v>
      </c>
      <c r="F14" s="132" t="s">
        <v>59</v>
      </c>
      <c r="G14" s="132" t="s">
        <v>60</v>
      </c>
      <c r="H14" s="132" t="s">
        <v>61</v>
      </c>
    </row>
    <row r="15" spans="1:24">
      <c r="A15" t="s">
        <v>63</v>
      </c>
      <c r="B15" s="135">
        <v>3.0000000000000001E-3</v>
      </c>
      <c r="C15" s="135">
        <v>8.0000000000000002E-3</v>
      </c>
      <c r="D15" s="135">
        <v>0.19900000000000001</v>
      </c>
      <c r="E15" s="135">
        <v>0.46899999999999997</v>
      </c>
      <c r="F15" s="135">
        <v>0.29299999999999998</v>
      </c>
      <c r="G15" s="135">
        <v>1E-3</v>
      </c>
      <c r="H15" s="135">
        <v>2.8000000000000001E-2</v>
      </c>
    </row>
    <row r="16" spans="1:24">
      <c r="A16" t="s">
        <v>62</v>
      </c>
      <c r="B16" s="132">
        <v>3.0000000000000001E-3</v>
      </c>
      <c r="C16" s="132">
        <v>4.2000000000000003E-2</v>
      </c>
      <c r="D16" s="132">
        <v>0.23599999999999999</v>
      </c>
      <c r="E16" s="132">
        <v>0.18</v>
      </c>
      <c r="F16" s="132">
        <v>0.51</v>
      </c>
      <c r="G16" s="132">
        <v>1E-3</v>
      </c>
      <c r="H16" s="132">
        <v>2.8000000000000001E-2</v>
      </c>
      <c r="R16" s="135">
        <v>3.0000000000000001E-3</v>
      </c>
      <c r="S16" s="135">
        <v>8.0000000000000002E-3</v>
      </c>
      <c r="T16" s="135">
        <v>0.19900000000000001</v>
      </c>
      <c r="U16" s="135">
        <v>0.46899999999999997</v>
      </c>
      <c r="V16" s="135">
        <v>0.29299999999999998</v>
      </c>
      <c r="W16" s="135">
        <v>1E-3</v>
      </c>
      <c r="X16" s="135">
        <v>2.8000000000000001E-2</v>
      </c>
    </row>
    <row r="17" spans="1:24">
      <c r="B17" s="132"/>
      <c r="C17" s="132"/>
      <c r="D17" s="132"/>
      <c r="E17" s="132"/>
      <c r="F17" s="132"/>
      <c r="G17" s="132"/>
      <c r="H17" s="132"/>
      <c r="R17" s="132">
        <v>3.0000000000000001E-3</v>
      </c>
      <c r="S17" s="132">
        <v>4.2000000000000003E-2</v>
      </c>
      <c r="T17" s="132">
        <v>0.23599999999999999</v>
      </c>
      <c r="U17" s="132">
        <v>0.18</v>
      </c>
      <c r="V17" s="132">
        <v>0.51</v>
      </c>
      <c r="W17" s="132">
        <v>1E-3</v>
      </c>
      <c r="X17" s="132">
        <v>2.8000000000000001E-2</v>
      </c>
    </row>
    <row r="18" spans="1:24">
      <c r="A18">
        <v>2014</v>
      </c>
      <c r="B18" s="132" t="s">
        <v>40</v>
      </c>
      <c r="C18" s="132" t="s">
        <v>9</v>
      </c>
      <c r="D18" s="132" t="s">
        <v>58</v>
      </c>
      <c r="E18" s="132" t="s">
        <v>41</v>
      </c>
      <c r="F18" s="132" t="s">
        <v>59</v>
      </c>
      <c r="G18" s="132" t="s">
        <v>60</v>
      </c>
      <c r="H18" s="132" t="s">
        <v>61</v>
      </c>
    </row>
    <row r="19" spans="1:24">
      <c r="A19" t="s">
        <v>63</v>
      </c>
      <c r="B19" s="135">
        <v>2E-3</v>
      </c>
      <c r="C19" s="135">
        <v>6.0000000000000001E-3</v>
      </c>
      <c r="D19" s="135">
        <v>0.19600000000000001</v>
      </c>
      <c r="E19" s="135">
        <v>0.56000000000000005</v>
      </c>
      <c r="F19" s="135">
        <v>0.21</v>
      </c>
      <c r="G19" s="135">
        <v>1E-3</v>
      </c>
      <c r="H19" s="135">
        <v>2.5000000000000001E-2</v>
      </c>
    </row>
    <row r="20" spans="1:24">
      <c r="A20" t="s">
        <v>62</v>
      </c>
      <c r="B20" s="132">
        <v>3.0000000000000001E-3</v>
      </c>
      <c r="C20" s="132">
        <v>4.4999999999999998E-2</v>
      </c>
      <c r="D20" s="132">
        <v>0.246</v>
      </c>
      <c r="E20" s="132">
        <v>0.17499999999999999</v>
      </c>
      <c r="F20" s="132">
        <v>0.499</v>
      </c>
      <c r="G20" s="132">
        <v>1E-3</v>
      </c>
      <c r="H20" s="132">
        <v>3.1E-2</v>
      </c>
    </row>
    <row r="21" spans="1:24">
      <c r="B21" s="132"/>
      <c r="C21" s="132"/>
      <c r="D21" s="132"/>
      <c r="E21" s="132"/>
      <c r="F21" s="132"/>
      <c r="G21" s="132"/>
      <c r="H21" s="132"/>
    </row>
    <row r="22" spans="1:24">
      <c r="A22">
        <v>2016</v>
      </c>
      <c r="B22" s="132" t="s">
        <v>40</v>
      </c>
      <c r="C22" s="132" t="s">
        <v>9</v>
      </c>
      <c r="D22" s="132" t="s">
        <v>58</v>
      </c>
      <c r="E22" s="132" t="s">
        <v>41</v>
      </c>
      <c r="F22" s="132" t="s">
        <v>59</v>
      </c>
      <c r="G22" s="132" t="s">
        <v>60</v>
      </c>
      <c r="H22" s="132" t="s">
        <v>61</v>
      </c>
    </row>
    <row r="23" spans="1:24">
      <c r="A23" t="s">
        <v>63</v>
      </c>
      <c r="B23" s="135">
        <v>2E-3</v>
      </c>
      <c r="C23" s="135">
        <v>7.0000000000000001E-3</v>
      </c>
      <c r="D23" s="135">
        <v>0.192</v>
      </c>
      <c r="E23" s="135">
        <v>0.48299999999999998</v>
      </c>
      <c r="F23" s="135">
        <v>0.27500000000000002</v>
      </c>
      <c r="G23" s="135">
        <v>1E-3</v>
      </c>
      <c r="H23" s="135">
        <v>0.04</v>
      </c>
    </row>
    <row r="24" spans="1:24">
      <c r="A24" t="s">
        <v>62</v>
      </c>
      <c r="B24" s="132">
        <v>3.0000000000000001E-3</v>
      </c>
      <c r="C24" s="132">
        <v>4.7E-2</v>
      </c>
      <c r="D24" s="132">
        <v>0.255</v>
      </c>
      <c r="E24" s="132">
        <v>0.17299999999999999</v>
      </c>
      <c r="F24" s="132">
        <v>0.48799999999999999</v>
      </c>
      <c r="G24" s="132">
        <v>1E-3</v>
      </c>
      <c r="H24" s="132">
        <v>3.2000000000000001E-2</v>
      </c>
    </row>
    <row r="25" spans="1:24">
      <c r="B25" s="132"/>
      <c r="C25" s="132"/>
      <c r="D25" s="132"/>
      <c r="E25" s="132"/>
      <c r="F25" s="132"/>
      <c r="G25" s="132"/>
      <c r="H25" s="132"/>
    </row>
    <row r="26" spans="1:24">
      <c r="A26">
        <v>2018</v>
      </c>
      <c r="B26" s="132" t="s">
        <v>40</v>
      </c>
      <c r="C26" s="132" t="s">
        <v>9</v>
      </c>
      <c r="D26" s="132" t="s">
        <v>58</v>
      </c>
      <c r="E26" s="132" t="s">
        <v>41</v>
      </c>
      <c r="F26" s="132" t="s">
        <v>59</v>
      </c>
      <c r="G26" s="132" t="s">
        <v>60</v>
      </c>
      <c r="H26" s="132" t="s">
        <v>61</v>
      </c>
    </row>
    <row r="27" spans="1:24">
      <c r="A27" t="s">
        <v>63</v>
      </c>
      <c r="B27" s="135">
        <v>2E-3</v>
      </c>
      <c r="C27" s="135">
        <v>7.0000000000000001E-3</v>
      </c>
      <c r="D27" s="135">
        <v>0.19</v>
      </c>
      <c r="E27" s="135">
        <v>0.47499999999999998</v>
      </c>
      <c r="F27" s="135">
        <v>0.27900000000000003</v>
      </c>
      <c r="G27" s="135">
        <v>1E-3</v>
      </c>
      <c r="H27" s="135">
        <v>4.5999999999999999E-2</v>
      </c>
    </row>
    <row r="28" spans="1:24">
      <c r="A28" t="s">
        <v>62</v>
      </c>
      <c r="B28" s="132">
        <v>3.0000000000000001E-3</v>
      </c>
      <c r="C28" s="132">
        <v>5.0999999999999997E-2</v>
      </c>
      <c r="D28" s="132">
        <v>0.26200000000000001</v>
      </c>
      <c r="E28" s="132">
        <v>0.16800000000000001</v>
      </c>
      <c r="F28" s="132">
        <v>0.48</v>
      </c>
      <c r="G28" s="132">
        <v>1E-3</v>
      </c>
      <c r="H28" s="132">
        <v>3.5000000000000003E-2</v>
      </c>
    </row>
    <row r="29" spans="1:24">
      <c r="B29" s="132"/>
      <c r="C29" s="132"/>
      <c r="D29" s="132"/>
      <c r="E29" s="132"/>
      <c r="F29" s="132"/>
      <c r="G29" s="132"/>
      <c r="H29" s="132"/>
    </row>
    <row r="30" spans="1:24">
      <c r="A30">
        <v>2021</v>
      </c>
      <c r="B30" s="132" t="s">
        <v>40</v>
      </c>
      <c r="C30" s="132" t="s">
        <v>9</v>
      </c>
      <c r="D30" s="132" t="s">
        <v>58</v>
      </c>
      <c r="E30" s="132" t="s">
        <v>41</v>
      </c>
      <c r="F30" s="132" t="s">
        <v>59</v>
      </c>
      <c r="G30" s="132" t="s">
        <v>60</v>
      </c>
      <c r="H30" s="132" t="s">
        <v>61</v>
      </c>
    </row>
    <row r="31" spans="1:24">
      <c r="A31" t="s">
        <v>63</v>
      </c>
      <c r="B31" s="135">
        <v>1E-3</v>
      </c>
      <c r="C31" s="135">
        <v>7.0000000000000001E-3</v>
      </c>
      <c r="D31" s="135">
        <v>0.125</v>
      </c>
      <c r="E31" s="135">
        <v>0.188</v>
      </c>
      <c r="F31" s="135">
        <v>0.58499999999999996</v>
      </c>
      <c r="G31" s="135">
        <v>1E-3</v>
      </c>
      <c r="H31" s="135">
        <v>6.7000000000000004E-2</v>
      </c>
    </row>
    <row r="32" spans="1:24">
      <c r="A32" t="s">
        <v>62</v>
      </c>
      <c r="B32" s="132">
        <v>2E-3</v>
      </c>
      <c r="C32" s="132">
        <v>5.3999999999999999E-2</v>
      </c>
      <c r="D32" s="132">
        <v>0.27</v>
      </c>
      <c r="E32" s="132">
        <v>0.16600000000000001</v>
      </c>
      <c r="F32" s="132">
        <v>0.46700000000000003</v>
      </c>
      <c r="G32" s="132">
        <v>1E-3</v>
      </c>
      <c r="H32" s="132">
        <v>3.9E-2</v>
      </c>
    </row>
    <row r="35" spans="2:19">
      <c r="B35" s="133"/>
      <c r="C35" s="133"/>
      <c r="D35" s="133"/>
      <c r="E35" s="133"/>
      <c r="F35" s="133"/>
      <c r="G35" s="133"/>
      <c r="H35" s="133"/>
    </row>
    <row r="36" spans="2:19" ht="16" customHeight="1">
      <c r="F36" s="180" t="s">
        <v>8</v>
      </c>
      <c r="G36" s="176"/>
      <c r="H36" s="175" t="s">
        <v>9</v>
      </c>
      <c r="I36" s="176"/>
      <c r="J36" s="175" t="s">
        <v>10</v>
      </c>
      <c r="K36" s="176"/>
      <c r="L36" s="175" t="s">
        <v>11</v>
      </c>
      <c r="M36" s="176"/>
      <c r="N36" s="175" t="s">
        <v>12</v>
      </c>
      <c r="O36" s="176"/>
      <c r="P36" s="175" t="s">
        <v>13</v>
      </c>
      <c r="Q36" s="176"/>
      <c r="R36" s="175" t="s">
        <v>14</v>
      </c>
      <c r="S36" s="179"/>
    </row>
    <row r="37" spans="2:19" ht="17" thickBot="1">
      <c r="E37" t="s">
        <v>18</v>
      </c>
      <c r="F37" s="5" t="s">
        <v>15</v>
      </c>
      <c r="G37" s="6" t="s">
        <v>16</v>
      </c>
      <c r="H37" s="7" t="s">
        <v>15</v>
      </c>
      <c r="I37" s="6" t="s">
        <v>16</v>
      </c>
      <c r="J37" s="7" t="s">
        <v>15</v>
      </c>
      <c r="K37" s="6" t="s">
        <v>16</v>
      </c>
      <c r="L37" s="7" t="s">
        <v>15</v>
      </c>
      <c r="M37" s="6" t="s">
        <v>16</v>
      </c>
      <c r="N37" s="7" t="s">
        <v>15</v>
      </c>
      <c r="O37" s="6" t="s">
        <v>16</v>
      </c>
      <c r="P37" s="7" t="s">
        <v>15</v>
      </c>
      <c r="Q37" s="6" t="s">
        <v>16</v>
      </c>
      <c r="R37" s="7" t="s">
        <v>15</v>
      </c>
      <c r="S37" s="8" t="s">
        <v>16</v>
      </c>
    </row>
    <row r="38" spans="2:19" ht="18" thickTop="1" thickBot="1">
      <c r="E38" t="s">
        <v>35</v>
      </c>
      <c r="F38" s="114">
        <v>134</v>
      </c>
      <c r="G38">
        <v>0.3</v>
      </c>
      <c r="H38" s="114">
        <v>443</v>
      </c>
      <c r="I38" s="121">
        <v>0.9</v>
      </c>
      <c r="J38" s="114">
        <v>9764</v>
      </c>
      <c r="K38" s="122">
        <v>18.8</v>
      </c>
      <c r="L38" s="114">
        <v>25507</v>
      </c>
      <c r="M38" s="122">
        <v>49</v>
      </c>
      <c r="N38" s="114">
        <v>19412</v>
      </c>
      <c r="O38" s="15">
        <v>37.299999999999997</v>
      </c>
      <c r="P38" s="13"/>
      <c r="Q38" s="15"/>
      <c r="R38" s="14"/>
      <c r="S38" s="15"/>
    </row>
    <row r="39" spans="2:19" ht="17" thickTop="1">
      <c r="E39" t="s">
        <v>30</v>
      </c>
      <c r="F39" s="30">
        <v>314</v>
      </c>
      <c r="G39" s="32">
        <v>0.257248424967844</v>
      </c>
      <c r="H39" s="33">
        <v>993</v>
      </c>
      <c r="I39" s="32">
        <v>0.81352766239830898</v>
      </c>
      <c r="J39" s="30">
        <v>24281</v>
      </c>
      <c r="K39" s="32">
        <v>19.8925127600134</v>
      </c>
      <c r="L39" s="33">
        <v>57246</v>
      </c>
      <c r="M39" s="32">
        <v>46.8995010691376</v>
      </c>
      <c r="N39" s="30">
        <v>35786</v>
      </c>
      <c r="O39" s="32">
        <v>29.318127821335199</v>
      </c>
      <c r="P39" s="33">
        <v>70</v>
      </c>
      <c r="Q39" s="32">
        <v>5.7348374992831498E-2</v>
      </c>
      <c r="R39" s="34">
        <v>3371</v>
      </c>
      <c r="S39" s="31">
        <v>2.7617338871547799</v>
      </c>
    </row>
    <row r="40" spans="2:19">
      <c r="E40" t="s">
        <v>29</v>
      </c>
      <c r="F40" s="30">
        <v>279</v>
      </c>
      <c r="G40" s="32">
        <v>0.2</v>
      </c>
      <c r="H40" s="33">
        <v>797</v>
      </c>
      <c r="I40" s="32">
        <v>0.6</v>
      </c>
      <c r="J40" s="30">
        <v>26887</v>
      </c>
      <c r="K40" s="32">
        <v>19.600000000000001</v>
      </c>
      <c r="L40" s="33">
        <v>76744</v>
      </c>
      <c r="M40" s="32">
        <v>56</v>
      </c>
      <c r="N40" s="30">
        <v>28808</v>
      </c>
      <c r="O40" s="32">
        <v>21</v>
      </c>
      <c r="P40" s="33">
        <v>87</v>
      </c>
      <c r="Q40" s="32">
        <v>0.1</v>
      </c>
      <c r="R40" s="34">
        <v>3477</v>
      </c>
      <c r="S40" s="31">
        <v>2.5</v>
      </c>
    </row>
    <row r="41" spans="2:19">
      <c r="E41" t="s">
        <v>20</v>
      </c>
      <c r="F41" s="19">
        <v>197</v>
      </c>
      <c r="G41" s="20">
        <v>0.24</v>
      </c>
      <c r="H41" s="21">
        <v>583</v>
      </c>
      <c r="I41" s="20">
        <v>0.71040000000000003</v>
      </c>
      <c r="J41" s="22">
        <v>15780</v>
      </c>
      <c r="K41" s="20">
        <v>19.228000000000002</v>
      </c>
      <c r="L41" s="21">
        <v>39641</v>
      </c>
      <c r="M41" s="20">
        <v>48.302599999999998</v>
      </c>
      <c r="N41" s="22">
        <v>22544</v>
      </c>
      <c r="O41" s="20">
        <v>27.469899999999999</v>
      </c>
      <c r="P41" s="21">
        <v>59</v>
      </c>
      <c r="Q41" s="20">
        <v>7.1900000000000006E-2</v>
      </c>
      <c r="R41" s="23">
        <v>3264</v>
      </c>
      <c r="S41" s="24">
        <v>3.9771999999999998</v>
      </c>
    </row>
    <row r="42" spans="2:19">
      <c r="E42" t="s">
        <v>19</v>
      </c>
      <c r="F42" s="94">
        <v>155</v>
      </c>
      <c r="G42" s="99">
        <v>0.2208</v>
      </c>
      <c r="H42" s="100">
        <v>484</v>
      </c>
      <c r="I42" s="99">
        <v>0.68940000000000001</v>
      </c>
      <c r="J42" s="101">
        <v>13371</v>
      </c>
      <c r="K42" s="99">
        <v>19.044</v>
      </c>
      <c r="L42" s="100">
        <v>33374</v>
      </c>
      <c r="M42" s="99">
        <v>47.533900000000003</v>
      </c>
      <c r="N42" s="101">
        <v>19573</v>
      </c>
      <c r="O42" s="99">
        <v>27.877400000000002</v>
      </c>
      <c r="P42" s="100">
        <v>45</v>
      </c>
      <c r="Q42" s="99">
        <v>6.4100000000000004E-2</v>
      </c>
      <c r="R42" s="102">
        <v>3209</v>
      </c>
      <c r="S42" s="103">
        <v>4.5705</v>
      </c>
    </row>
    <row r="43" spans="2:19">
      <c r="E43" t="s">
        <v>34</v>
      </c>
      <c r="F43">
        <v>13</v>
      </c>
      <c r="G43">
        <v>0.1</v>
      </c>
      <c r="H43">
        <v>67</v>
      </c>
      <c r="I43">
        <v>0.7</v>
      </c>
      <c r="J43">
        <v>1185</v>
      </c>
      <c r="K43">
        <v>12.5</v>
      </c>
      <c r="L43">
        <v>1777</v>
      </c>
      <c r="M43">
        <v>18.8</v>
      </c>
      <c r="N43">
        <v>5533</v>
      </c>
      <c r="O43">
        <v>58.5</v>
      </c>
      <c r="P43">
        <v>7</v>
      </c>
      <c r="Q43">
        <v>0.1</v>
      </c>
      <c r="R43">
        <v>634</v>
      </c>
      <c r="S43">
        <v>6.7</v>
      </c>
    </row>
    <row r="46" spans="2:19">
      <c r="B46" t="s">
        <v>18</v>
      </c>
      <c r="C46" s="132" t="s">
        <v>40</v>
      </c>
      <c r="D46" s="132" t="s">
        <v>9</v>
      </c>
      <c r="E46" s="132" t="s">
        <v>58</v>
      </c>
      <c r="F46" s="132" t="s">
        <v>41</v>
      </c>
      <c r="G46" s="132" t="s">
        <v>59</v>
      </c>
      <c r="H46" s="132" t="s">
        <v>60</v>
      </c>
      <c r="I46" s="132" t="s">
        <v>61</v>
      </c>
    </row>
    <row r="47" spans="2:19">
      <c r="B47" t="s">
        <v>35</v>
      </c>
      <c r="C47">
        <v>0.3</v>
      </c>
      <c r="D47" s="121">
        <v>0.9</v>
      </c>
      <c r="E47" s="122">
        <v>18.8</v>
      </c>
      <c r="F47" s="122">
        <v>49</v>
      </c>
      <c r="G47" s="15">
        <v>37.299999999999997</v>
      </c>
      <c r="H47" s="15"/>
      <c r="I47" s="15"/>
    </row>
    <row r="48" spans="2:19">
      <c r="B48" t="s">
        <v>30</v>
      </c>
      <c r="C48" s="32">
        <v>0.257248424967844</v>
      </c>
      <c r="D48" s="32">
        <v>0.81352766239830898</v>
      </c>
      <c r="E48" s="32">
        <v>19.8925127600134</v>
      </c>
      <c r="F48" s="32">
        <v>46.8995010691376</v>
      </c>
      <c r="G48" s="32">
        <v>29.318127821335199</v>
      </c>
      <c r="H48" s="32">
        <v>5.7348374992831498E-2</v>
      </c>
      <c r="I48" s="31">
        <v>2.7617338871547799</v>
      </c>
    </row>
    <row r="49" spans="1:11">
      <c r="B49" t="s">
        <v>29</v>
      </c>
      <c r="C49" s="32">
        <v>0.2</v>
      </c>
      <c r="D49" s="32">
        <v>0.6</v>
      </c>
      <c r="E49" s="32">
        <v>19.600000000000001</v>
      </c>
      <c r="F49" s="32">
        <v>56</v>
      </c>
      <c r="G49" s="32">
        <v>21</v>
      </c>
      <c r="H49" s="32">
        <v>0.1</v>
      </c>
      <c r="I49" s="31">
        <v>2.5</v>
      </c>
    </row>
    <row r="50" spans="1:11">
      <c r="B50" t="s">
        <v>20</v>
      </c>
      <c r="C50" s="20">
        <v>0.24</v>
      </c>
      <c r="D50" s="20">
        <v>0.71040000000000003</v>
      </c>
      <c r="E50" s="20">
        <v>19.228000000000002</v>
      </c>
      <c r="F50" s="20">
        <v>48.302599999999998</v>
      </c>
      <c r="G50" s="20">
        <v>27.469899999999999</v>
      </c>
      <c r="H50" s="20">
        <v>7.1900000000000006E-2</v>
      </c>
      <c r="I50" s="24">
        <v>3.9771999999999998</v>
      </c>
    </row>
    <row r="51" spans="1:11">
      <c r="B51" t="s">
        <v>19</v>
      </c>
      <c r="C51" s="99">
        <v>0.2208</v>
      </c>
      <c r="D51" s="99">
        <v>0.68940000000000001</v>
      </c>
      <c r="E51" s="99">
        <v>19.044</v>
      </c>
      <c r="F51" s="99">
        <v>47.533900000000003</v>
      </c>
      <c r="G51" s="99">
        <v>27.877400000000002</v>
      </c>
      <c r="H51" s="99">
        <v>6.4100000000000004E-2</v>
      </c>
      <c r="I51" s="103">
        <v>4.5705</v>
      </c>
    </row>
    <row r="52" spans="1:11">
      <c r="B52" t="s">
        <v>34</v>
      </c>
      <c r="C52">
        <v>0.1</v>
      </c>
      <c r="D52">
        <v>0.7</v>
      </c>
      <c r="E52">
        <v>12.5</v>
      </c>
      <c r="F52">
        <v>18.8</v>
      </c>
      <c r="G52">
        <v>58.5</v>
      </c>
      <c r="H52">
        <v>0.1</v>
      </c>
      <c r="I52">
        <v>6.7</v>
      </c>
    </row>
    <row r="64" spans="1:11">
      <c r="A64" s="154" t="s">
        <v>42</v>
      </c>
      <c r="B64" s="177" t="s">
        <v>11</v>
      </c>
      <c r="C64" s="178"/>
      <c r="D64" s="154"/>
      <c r="E64" s="154" t="s">
        <v>69</v>
      </c>
      <c r="F64" s="177" t="s">
        <v>11</v>
      </c>
      <c r="G64" s="178"/>
      <c r="H64" s="154"/>
      <c r="I64" s="154" t="s">
        <v>70</v>
      </c>
      <c r="J64" s="177" t="s">
        <v>11</v>
      </c>
      <c r="K64" s="178"/>
    </row>
    <row r="65" spans="1:17" ht="58" thickBot="1">
      <c r="A65" s="154" t="s">
        <v>18</v>
      </c>
      <c r="B65" s="155" t="s">
        <v>15</v>
      </c>
      <c r="C65" s="156" t="s">
        <v>16</v>
      </c>
      <c r="D65" s="154"/>
      <c r="E65" s="154" t="s">
        <v>18</v>
      </c>
      <c r="F65" s="155" t="s">
        <v>15</v>
      </c>
      <c r="G65" s="156" t="s">
        <v>16</v>
      </c>
      <c r="H65" s="154"/>
      <c r="I65" s="154" t="s">
        <v>18</v>
      </c>
      <c r="J65" s="155" t="s">
        <v>15</v>
      </c>
      <c r="K65" s="156" t="s">
        <v>16</v>
      </c>
      <c r="M65" t="s">
        <v>18</v>
      </c>
      <c r="N65" s="152" t="s">
        <v>86</v>
      </c>
      <c r="O65" s="153" t="s">
        <v>87</v>
      </c>
      <c r="P65" s="150"/>
      <c r="Q65" s="151"/>
    </row>
    <row r="66" spans="1:17" ht="18" thickTop="1" thickBot="1">
      <c r="A66" s="154" t="s">
        <v>35</v>
      </c>
      <c r="B66" s="157">
        <v>25507</v>
      </c>
      <c r="C66" s="158">
        <v>0.49</v>
      </c>
      <c r="D66" s="154"/>
      <c r="E66" s="154" t="s">
        <v>35</v>
      </c>
      <c r="F66" s="159">
        <v>15902</v>
      </c>
      <c r="G66" s="158">
        <v>0.45200000000000001</v>
      </c>
      <c r="H66" s="154"/>
      <c r="I66" s="154" t="s">
        <v>35</v>
      </c>
      <c r="J66" s="159">
        <v>9604</v>
      </c>
      <c r="K66" s="158">
        <v>0.56999999999999995</v>
      </c>
      <c r="M66" t="s">
        <v>35</v>
      </c>
      <c r="N66" s="132">
        <v>0.59599999999999997</v>
      </c>
      <c r="O66" s="132">
        <v>0.51500000000000001</v>
      </c>
      <c r="P66" s="85"/>
      <c r="Q66" s="85"/>
    </row>
    <row r="67" spans="1:17" ht="17" thickTop="1">
      <c r="A67" s="154" t="s">
        <v>30</v>
      </c>
      <c r="B67" s="160">
        <v>57246</v>
      </c>
      <c r="C67" s="158">
        <v>0.46899999999999997</v>
      </c>
      <c r="D67" s="154"/>
      <c r="E67" s="154" t="s">
        <v>30</v>
      </c>
      <c r="F67" s="160">
        <v>34895</v>
      </c>
      <c r="G67" s="158">
        <v>0.28599999999999998</v>
      </c>
      <c r="H67" s="154"/>
      <c r="I67" s="154" t="s">
        <v>30</v>
      </c>
      <c r="J67" s="160">
        <v>22351</v>
      </c>
      <c r="K67" s="158">
        <v>0.183</v>
      </c>
      <c r="M67" t="s">
        <v>30</v>
      </c>
      <c r="N67" s="132">
        <v>0.20200000000000001</v>
      </c>
      <c r="O67" s="132">
        <v>0.15</v>
      </c>
      <c r="P67" s="13"/>
      <c r="Q67" s="15"/>
    </row>
    <row r="68" spans="1:17">
      <c r="A68" s="154" t="s">
        <v>29</v>
      </c>
      <c r="B68" s="160">
        <v>76744</v>
      </c>
      <c r="C68" s="158">
        <v>0.56000000000000005</v>
      </c>
      <c r="D68" s="154"/>
      <c r="E68" s="154" t="s">
        <v>29</v>
      </c>
      <c r="F68" s="160">
        <v>49069</v>
      </c>
      <c r="G68" s="158">
        <v>0.52800000000000002</v>
      </c>
      <c r="H68" s="154"/>
      <c r="I68" s="154" t="s">
        <v>29</v>
      </c>
      <c r="J68" s="160">
        <v>27675</v>
      </c>
      <c r="K68" s="158">
        <v>0.626</v>
      </c>
      <c r="M68" t="s">
        <v>29</v>
      </c>
      <c r="N68" s="132">
        <v>0.63100000000000001</v>
      </c>
      <c r="O68" s="132">
        <v>0.47499999999999998</v>
      </c>
      <c r="P68" s="13"/>
      <c r="Q68" s="15"/>
    </row>
    <row r="69" spans="1:17">
      <c r="A69" s="154" t="s">
        <v>20</v>
      </c>
      <c r="B69" s="160">
        <v>39641</v>
      </c>
      <c r="C69" s="158">
        <v>0.48299999999999998</v>
      </c>
      <c r="D69" s="154"/>
      <c r="E69" s="154" t="s">
        <v>20</v>
      </c>
      <c r="F69" s="160">
        <v>24528</v>
      </c>
      <c r="G69" s="158">
        <v>0.443</v>
      </c>
      <c r="H69" s="154"/>
      <c r="I69" s="154" t="s">
        <v>20</v>
      </c>
      <c r="J69" s="160">
        <v>15113</v>
      </c>
      <c r="K69" s="158">
        <v>0.56599999999999995</v>
      </c>
      <c r="M69" t="s">
        <v>20</v>
      </c>
      <c r="N69" s="132">
        <v>0.57399999999999995</v>
      </c>
      <c r="O69" s="132">
        <v>0.48</v>
      </c>
      <c r="P69" s="13"/>
      <c r="Q69" s="15"/>
    </row>
    <row r="70" spans="1:17">
      <c r="A70" s="154" t="s">
        <v>19</v>
      </c>
      <c r="B70" s="161">
        <v>33374</v>
      </c>
      <c r="C70" s="158">
        <v>0.47499999999999998</v>
      </c>
      <c r="D70" s="154"/>
      <c r="E70" s="154" t="s">
        <v>19</v>
      </c>
      <c r="F70" s="160">
        <v>20943</v>
      </c>
      <c r="G70" s="158">
        <v>0.439</v>
      </c>
      <c r="H70" s="154"/>
      <c r="I70" s="154" t="s">
        <v>19</v>
      </c>
      <c r="J70" s="160">
        <v>12431</v>
      </c>
      <c r="K70" s="158">
        <v>0.55300000000000005</v>
      </c>
      <c r="M70" t="s">
        <v>19</v>
      </c>
      <c r="N70" s="132"/>
      <c r="O70" s="132"/>
      <c r="P70" s="13"/>
      <c r="Q70" s="15"/>
    </row>
    <row r="71" spans="1:17">
      <c r="A71" s="154" t="s">
        <v>34</v>
      </c>
      <c r="B71" s="154">
        <v>1777</v>
      </c>
      <c r="C71" s="158">
        <v>0.188</v>
      </c>
      <c r="D71" s="154"/>
      <c r="E71" s="154" t="s">
        <v>34</v>
      </c>
      <c r="F71" s="154">
        <v>1215</v>
      </c>
      <c r="G71" s="158">
        <v>0.17799999999999999</v>
      </c>
      <c r="H71" s="154"/>
      <c r="I71" s="154" t="s">
        <v>34</v>
      </c>
      <c r="J71" s="154">
        <v>562</v>
      </c>
      <c r="K71" s="158">
        <v>0.21299999999999999</v>
      </c>
      <c r="M71" t="s">
        <v>34</v>
      </c>
      <c r="N71" s="132">
        <v>0.21809999999999999</v>
      </c>
      <c r="O71" s="132">
        <v>0.1021</v>
      </c>
      <c r="P71" s="117"/>
    </row>
    <row r="72" spans="1:17">
      <c r="A72" s="154"/>
      <c r="B72" s="177" t="s">
        <v>11</v>
      </c>
      <c r="C72" s="178"/>
      <c r="D72" s="158"/>
      <c r="E72" s="154"/>
      <c r="F72" s="177" t="s">
        <v>11</v>
      </c>
      <c r="G72" s="178"/>
      <c r="H72" s="158"/>
      <c r="I72" s="154"/>
      <c r="J72" s="177" t="s">
        <v>11</v>
      </c>
      <c r="K72" s="178"/>
      <c r="L72" s="132"/>
    </row>
    <row r="73" spans="1:17" ht="17" thickBot="1">
      <c r="A73" s="154" t="s">
        <v>18</v>
      </c>
      <c r="B73" s="155" t="s">
        <v>15</v>
      </c>
      <c r="C73" s="156" t="s">
        <v>16</v>
      </c>
      <c r="D73" s="158"/>
      <c r="E73" s="154" t="s">
        <v>18</v>
      </c>
      <c r="F73" s="155" t="s">
        <v>15</v>
      </c>
      <c r="G73" s="156" t="s">
        <v>16</v>
      </c>
      <c r="H73" s="158"/>
      <c r="I73" s="154" t="s">
        <v>18</v>
      </c>
      <c r="J73" s="155" t="s">
        <v>15</v>
      </c>
      <c r="K73" s="156" t="s">
        <v>16</v>
      </c>
      <c r="L73" s="132"/>
    </row>
    <row r="74" spans="1:17" ht="18" thickTop="1" thickBot="1">
      <c r="A74" s="154" t="s">
        <v>35</v>
      </c>
      <c r="B74" s="162">
        <v>646519</v>
      </c>
      <c r="C74" s="158">
        <v>0.43</v>
      </c>
      <c r="D74" s="154"/>
      <c r="E74" s="154" t="s">
        <v>35</v>
      </c>
      <c r="F74" s="163">
        <v>432668</v>
      </c>
      <c r="G74" s="158">
        <v>0.4</v>
      </c>
      <c r="H74" s="154"/>
      <c r="I74" s="154" t="s">
        <v>35</v>
      </c>
      <c r="J74" s="163">
        <v>213851</v>
      </c>
      <c r="K74" s="158">
        <v>0.51</v>
      </c>
    </row>
    <row r="75" spans="1:17" ht="17" thickTop="1">
      <c r="A75" s="154" t="s">
        <v>30</v>
      </c>
      <c r="B75" s="160">
        <v>1200401</v>
      </c>
      <c r="C75" s="158">
        <v>0.38200000000000001</v>
      </c>
      <c r="D75" s="154"/>
      <c r="E75" s="154" t="s">
        <v>30</v>
      </c>
      <c r="F75" s="160">
        <v>776082</v>
      </c>
      <c r="G75" s="158">
        <v>0.247</v>
      </c>
      <c r="H75" s="154"/>
      <c r="I75" s="154" t="s">
        <v>30</v>
      </c>
      <c r="J75" s="160">
        <v>424319</v>
      </c>
      <c r="K75" s="158">
        <v>0.13500000000000001</v>
      </c>
    </row>
    <row r="76" spans="1:17">
      <c r="A76" s="154" t="s">
        <v>29</v>
      </c>
      <c r="B76" s="160">
        <v>1042991</v>
      </c>
      <c r="C76" s="158">
        <v>0.40300000000000002</v>
      </c>
      <c r="D76" s="154"/>
      <c r="E76" s="154" t="s">
        <v>29</v>
      </c>
      <c r="F76" s="160">
        <v>684082</v>
      </c>
      <c r="G76" s="158">
        <v>0.375</v>
      </c>
      <c r="H76" s="154"/>
      <c r="I76" s="154" t="s">
        <v>29</v>
      </c>
      <c r="J76" s="160">
        <v>358909</v>
      </c>
      <c r="K76" s="158">
        <v>0.46899999999999997</v>
      </c>
    </row>
    <row r="77" spans="1:17">
      <c r="A77" s="154" t="s">
        <v>20</v>
      </c>
      <c r="B77" s="160">
        <v>1008653</v>
      </c>
      <c r="C77" s="158">
        <v>0.40600000000000003</v>
      </c>
      <c r="D77" s="154"/>
      <c r="E77" s="154" t="s">
        <v>20</v>
      </c>
      <c r="F77" s="160">
        <v>657814</v>
      </c>
      <c r="G77" s="158">
        <v>0.377</v>
      </c>
      <c r="H77" s="154"/>
      <c r="I77" s="154" t="s">
        <v>20</v>
      </c>
      <c r="J77" s="160">
        <v>350839</v>
      </c>
      <c r="K77" s="158">
        <v>0.47399999999999998</v>
      </c>
    </row>
    <row r="78" spans="1:17">
      <c r="A78" s="154" t="s">
        <v>19</v>
      </c>
      <c r="B78" s="160">
        <v>924641</v>
      </c>
      <c r="C78" s="158">
        <v>0.38200000000000001</v>
      </c>
      <c r="D78" s="154"/>
      <c r="E78" s="154" t="s">
        <v>19</v>
      </c>
      <c r="F78" s="160">
        <v>602583</v>
      </c>
      <c r="G78" s="158">
        <v>0.35399999999999998</v>
      </c>
      <c r="H78" s="154"/>
      <c r="I78" s="154" t="s">
        <v>19</v>
      </c>
      <c r="J78" s="160">
        <v>322058</v>
      </c>
      <c r="K78" s="158">
        <v>0.44800000000000001</v>
      </c>
    </row>
    <row r="79" spans="1:17">
      <c r="A79" s="154" t="s">
        <v>34</v>
      </c>
      <c r="B79" s="164">
        <v>52044</v>
      </c>
      <c r="C79" s="158">
        <v>0.27700000000000002</v>
      </c>
      <c r="D79" s="154"/>
      <c r="E79" s="154" t="s">
        <v>34</v>
      </c>
      <c r="F79" s="164">
        <v>36851</v>
      </c>
      <c r="G79" s="158">
        <v>0.26100000000000001</v>
      </c>
      <c r="H79" s="154"/>
      <c r="I79" s="154" t="s">
        <v>34</v>
      </c>
      <c r="J79" s="164">
        <v>15193</v>
      </c>
      <c r="K79" s="158">
        <v>0.32500000000000001</v>
      </c>
    </row>
    <row r="80" spans="1:17">
      <c r="A80" s="154"/>
      <c r="B80" s="154"/>
      <c r="C80" s="154"/>
      <c r="D80" s="158"/>
      <c r="E80" s="154"/>
      <c r="F80" s="154"/>
      <c r="G80" s="154"/>
      <c r="H80" s="158"/>
      <c r="I80" s="154"/>
      <c r="J80" s="154"/>
      <c r="K80" s="154"/>
      <c r="L80" s="132"/>
    </row>
    <row r="81" spans="1:12">
      <c r="D81" s="132"/>
      <c r="H81" s="132"/>
      <c r="L81" s="132"/>
    </row>
    <row r="82" spans="1:12">
      <c r="A82" s="154"/>
      <c r="B82" s="154"/>
      <c r="C82" s="154"/>
      <c r="D82" s="154"/>
      <c r="E82" s="154"/>
      <c r="F82" s="154"/>
      <c r="G82" s="154"/>
      <c r="H82" s="154"/>
      <c r="I82" s="154"/>
      <c r="J82" s="154"/>
      <c r="K82" s="154"/>
    </row>
    <row r="83" spans="1:12">
      <c r="A83" s="154" t="s">
        <v>67</v>
      </c>
      <c r="B83" s="177" t="s">
        <v>11</v>
      </c>
      <c r="C83" s="178"/>
      <c r="D83" s="154"/>
      <c r="E83" s="154" t="s">
        <v>71</v>
      </c>
      <c r="F83" s="177" t="s">
        <v>11</v>
      </c>
      <c r="G83" s="178"/>
      <c r="H83" s="154"/>
      <c r="I83" s="154" t="s">
        <v>73</v>
      </c>
      <c r="J83" s="177" t="s">
        <v>11</v>
      </c>
      <c r="K83" s="178"/>
    </row>
    <row r="84" spans="1:12" ht="17" thickBot="1">
      <c r="A84" s="154" t="s">
        <v>18</v>
      </c>
      <c r="B84" s="155" t="s">
        <v>15</v>
      </c>
      <c r="C84" s="156" t="s">
        <v>16</v>
      </c>
      <c r="D84" s="154"/>
      <c r="E84" s="154" t="s">
        <v>18</v>
      </c>
      <c r="F84" s="155" t="s">
        <v>15</v>
      </c>
      <c r="G84" s="156" t="s">
        <v>16</v>
      </c>
      <c r="H84" s="154"/>
      <c r="I84" s="154" t="s">
        <v>18</v>
      </c>
      <c r="J84" s="155" t="s">
        <v>15</v>
      </c>
      <c r="K84" s="156" t="s">
        <v>16</v>
      </c>
    </row>
    <row r="85" spans="1:12" ht="18" thickTop="1" thickBot="1">
      <c r="A85" s="154" t="s">
        <v>35</v>
      </c>
      <c r="B85" s="162">
        <v>6598</v>
      </c>
      <c r="C85" s="158">
        <v>0.45700000000000002</v>
      </c>
      <c r="D85" s="154"/>
      <c r="E85" s="154" t="s">
        <v>35</v>
      </c>
      <c r="F85" s="163">
        <v>4826</v>
      </c>
      <c r="G85" s="158">
        <v>0.45</v>
      </c>
      <c r="H85" s="154"/>
      <c r="I85" s="154" t="s">
        <v>35</v>
      </c>
      <c r="J85" s="163">
        <v>1772</v>
      </c>
      <c r="K85" s="158">
        <v>0.47699999999999998</v>
      </c>
    </row>
    <row r="86" spans="1:12" ht="17" thickTop="1">
      <c r="A86" s="154" t="s">
        <v>30</v>
      </c>
      <c r="B86" s="160">
        <v>12343</v>
      </c>
      <c r="C86" s="158">
        <v>0.45</v>
      </c>
      <c r="D86" s="154"/>
      <c r="E86" s="154" t="s">
        <v>30</v>
      </c>
      <c r="F86" s="160">
        <v>9071</v>
      </c>
      <c r="G86" s="158">
        <v>0.33100000000000002</v>
      </c>
      <c r="H86" s="154"/>
      <c r="I86" s="154" t="s">
        <v>30</v>
      </c>
      <c r="J86" s="160">
        <v>3272</v>
      </c>
      <c r="K86" s="158">
        <v>0.11899999999999999</v>
      </c>
    </row>
    <row r="87" spans="1:12">
      <c r="A87" s="154" t="s">
        <v>29</v>
      </c>
      <c r="B87" s="165">
        <v>17133</v>
      </c>
      <c r="C87" s="158">
        <v>0.53300000000000003</v>
      </c>
      <c r="D87" s="154"/>
      <c r="E87" s="154" t="s">
        <v>29</v>
      </c>
      <c r="F87" s="165">
        <v>12916</v>
      </c>
      <c r="G87" s="158">
        <v>0.51400000000000001</v>
      </c>
      <c r="H87" s="154"/>
      <c r="I87" s="154" t="s">
        <v>29</v>
      </c>
      <c r="J87" s="165">
        <v>4217</v>
      </c>
      <c r="K87" s="158">
        <v>0.6</v>
      </c>
    </row>
    <row r="88" spans="1:12">
      <c r="A88" s="154" t="s">
        <v>20</v>
      </c>
      <c r="B88" s="160">
        <v>9824</v>
      </c>
      <c r="C88" s="158">
        <v>0.45800000000000002</v>
      </c>
      <c r="D88" s="158"/>
      <c r="E88" s="154" t="s">
        <v>20</v>
      </c>
      <c r="F88" s="160">
        <v>7261</v>
      </c>
      <c r="G88" s="158">
        <v>0.438</v>
      </c>
      <c r="H88" s="158"/>
      <c r="I88" s="154" t="s">
        <v>20</v>
      </c>
      <c r="J88" s="160">
        <v>2563</v>
      </c>
      <c r="K88" s="158">
        <v>0.52600000000000002</v>
      </c>
      <c r="L88" s="132"/>
    </row>
    <row r="89" spans="1:12">
      <c r="A89" s="154" t="s">
        <v>19</v>
      </c>
      <c r="B89" s="166" t="s">
        <v>37</v>
      </c>
      <c r="C89" s="158"/>
      <c r="D89" s="158"/>
      <c r="E89" s="154" t="s">
        <v>19</v>
      </c>
      <c r="F89" s="154" t="s">
        <v>37</v>
      </c>
      <c r="G89" s="158"/>
      <c r="H89" s="158"/>
      <c r="I89" s="154" t="s">
        <v>19</v>
      </c>
      <c r="J89" s="154" t="s">
        <v>37</v>
      </c>
      <c r="K89" s="158"/>
      <c r="L89" s="132"/>
    </row>
    <row r="90" spans="1:12">
      <c r="A90" s="154" t="s">
        <v>34</v>
      </c>
      <c r="B90" s="167">
        <v>604</v>
      </c>
      <c r="C90" s="158">
        <v>0.19600000000000001</v>
      </c>
      <c r="D90" s="154"/>
      <c r="E90" s="154" t="s">
        <v>34</v>
      </c>
      <c r="F90" s="167">
        <v>479</v>
      </c>
      <c r="G90" s="158">
        <v>0.1923</v>
      </c>
      <c r="H90" s="154"/>
      <c r="I90" s="154" t="s">
        <v>34</v>
      </c>
      <c r="J90" s="167">
        <v>125</v>
      </c>
      <c r="K90" s="158">
        <v>0.21149999999999999</v>
      </c>
    </row>
    <row r="91" spans="1:12">
      <c r="A91" s="154"/>
      <c r="B91" s="177" t="s">
        <v>11</v>
      </c>
      <c r="C91" s="178"/>
      <c r="D91" s="154"/>
      <c r="E91" s="154"/>
      <c r="F91" s="177" t="s">
        <v>11</v>
      </c>
      <c r="G91" s="178"/>
      <c r="H91" s="154"/>
      <c r="I91" s="154"/>
      <c r="J91" s="177" t="s">
        <v>11</v>
      </c>
      <c r="K91" s="178"/>
    </row>
    <row r="92" spans="1:12" ht="17" thickBot="1">
      <c r="A92" s="154" t="s">
        <v>18</v>
      </c>
      <c r="B92" s="155" t="s">
        <v>15</v>
      </c>
      <c r="C92" s="156" t="s">
        <v>16</v>
      </c>
      <c r="D92" s="154"/>
      <c r="E92" s="154" t="s">
        <v>18</v>
      </c>
      <c r="F92" s="155" t="s">
        <v>15</v>
      </c>
      <c r="G92" s="156" t="s">
        <v>16</v>
      </c>
      <c r="H92" s="154"/>
      <c r="I92" s="154" t="s">
        <v>18</v>
      </c>
      <c r="J92" s="155" t="s">
        <v>15</v>
      </c>
      <c r="K92" s="156" t="s">
        <v>16</v>
      </c>
    </row>
    <row r="93" spans="1:12" ht="18" thickTop="1" thickBot="1">
      <c r="A93" s="154" t="s">
        <v>35</v>
      </c>
      <c r="B93" s="162">
        <v>154752</v>
      </c>
      <c r="C93" s="158">
        <v>0.40200000000000002</v>
      </c>
      <c r="D93" s="154"/>
      <c r="E93" s="154" t="s">
        <v>35</v>
      </c>
      <c r="F93" s="163">
        <v>117408</v>
      </c>
      <c r="G93" s="158">
        <v>0.378</v>
      </c>
      <c r="H93" s="154"/>
      <c r="I93" s="154" t="s">
        <v>35</v>
      </c>
      <c r="J93" s="163">
        <v>37344</v>
      </c>
      <c r="K93" s="158">
        <v>0.499</v>
      </c>
    </row>
    <row r="94" spans="1:12" ht="18" thickTop="1" thickBot="1">
      <c r="A94" s="154" t="s">
        <v>30</v>
      </c>
      <c r="B94" s="168">
        <v>237998</v>
      </c>
      <c r="C94" s="158">
        <v>0.34499999999999997</v>
      </c>
      <c r="D94" s="154"/>
      <c r="E94" s="154" t="s">
        <v>30</v>
      </c>
      <c r="F94" s="160">
        <v>180611</v>
      </c>
      <c r="G94" s="158">
        <v>0.26200000000000001</v>
      </c>
      <c r="H94" s="154"/>
      <c r="I94" s="154" t="s">
        <v>30</v>
      </c>
      <c r="J94" s="160">
        <v>57387</v>
      </c>
      <c r="K94" s="158">
        <v>8.3000000000000004E-2</v>
      </c>
    </row>
    <row r="95" spans="1:12" ht="17" thickTop="1">
      <c r="A95" s="154" t="s">
        <v>29</v>
      </c>
      <c r="B95" s="165">
        <v>226463</v>
      </c>
      <c r="C95" s="158">
        <v>0.378</v>
      </c>
      <c r="D95" s="154"/>
      <c r="E95" s="154" t="s">
        <v>29</v>
      </c>
      <c r="F95" s="165">
        <v>172309</v>
      </c>
      <c r="G95" s="158">
        <v>0.36199999999999999</v>
      </c>
      <c r="H95" s="154"/>
      <c r="I95" s="154" t="s">
        <v>29</v>
      </c>
      <c r="J95" s="165">
        <v>54154</v>
      </c>
      <c r="K95" s="158">
        <v>0.438</v>
      </c>
    </row>
    <row r="96" spans="1:12">
      <c r="A96" s="154" t="s">
        <v>20</v>
      </c>
      <c r="B96" s="160">
        <v>229406</v>
      </c>
      <c r="C96" s="158">
        <v>0.379</v>
      </c>
      <c r="D96" s="158"/>
      <c r="E96" s="154" t="s">
        <v>20</v>
      </c>
      <c r="F96" s="160">
        <v>173991</v>
      </c>
      <c r="G96" s="158">
        <v>0.36299999999999999</v>
      </c>
      <c r="H96" s="158"/>
      <c r="I96" s="154" t="s">
        <v>20</v>
      </c>
      <c r="J96" s="160">
        <v>55415</v>
      </c>
      <c r="K96" s="158">
        <v>0.44</v>
      </c>
      <c r="L96" s="132"/>
    </row>
    <row r="97" spans="1:12">
      <c r="A97" s="154" t="s">
        <v>19</v>
      </c>
      <c r="B97" s="154" t="s">
        <v>37</v>
      </c>
      <c r="C97" s="158"/>
      <c r="D97" s="158"/>
      <c r="E97" s="154" t="s">
        <v>19</v>
      </c>
      <c r="F97" s="154" t="s">
        <v>37</v>
      </c>
      <c r="G97" s="158"/>
      <c r="H97" s="158"/>
      <c r="I97" s="154" t="s">
        <v>19</v>
      </c>
      <c r="J97" s="154" t="s">
        <v>37</v>
      </c>
      <c r="K97" s="158"/>
      <c r="L97" s="132"/>
    </row>
    <row r="98" spans="1:12">
      <c r="A98" s="154" t="s">
        <v>34</v>
      </c>
      <c r="B98" s="167">
        <v>17112</v>
      </c>
      <c r="C98" s="158">
        <v>0.26690000000000003</v>
      </c>
      <c r="D98" s="154"/>
      <c r="E98" s="154" t="s">
        <v>34</v>
      </c>
      <c r="F98" s="167">
        <v>13631</v>
      </c>
      <c r="G98" s="158">
        <v>0.25890000000000002</v>
      </c>
      <c r="H98" s="154"/>
      <c r="I98" s="154" t="s">
        <v>34</v>
      </c>
      <c r="J98" s="167">
        <v>3481</v>
      </c>
      <c r="K98" s="158">
        <v>5.4300000000000001E-2</v>
      </c>
    </row>
    <row r="99" spans="1:12">
      <c r="A99" s="154"/>
      <c r="B99" s="154"/>
      <c r="C99" s="154"/>
      <c r="D99" s="154"/>
      <c r="E99" s="154"/>
      <c r="F99" s="154"/>
      <c r="G99" s="154"/>
      <c r="H99" s="154"/>
      <c r="I99" s="154"/>
      <c r="J99" s="154"/>
      <c r="K99" s="154"/>
    </row>
    <row r="102" spans="1:12">
      <c r="A102" t="s">
        <v>68</v>
      </c>
      <c r="B102" s="175" t="s">
        <v>11</v>
      </c>
      <c r="C102" s="176"/>
      <c r="E102" t="s">
        <v>72</v>
      </c>
      <c r="F102" s="175" t="s">
        <v>11</v>
      </c>
      <c r="G102" s="176"/>
      <c r="I102" t="s">
        <v>74</v>
      </c>
      <c r="J102" s="175" t="s">
        <v>11</v>
      </c>
      <c r="K102" s="176"/>
    </row>
    <row r="103" spans="1:12" ht="17" thickBot="1">
      <c r="A103" t="s">
        <v>18</v>
      </c>
      <c r="B103" s="7" t="s">
        <v>15</v>
      </c>
      <c r="C103" s="6" t="s">
        <v>16</v>
      </c>
      <c r="E103" t="s">
        <v>18</v>
      </c>
      <c r="F103" s="7" t="s">
        <v>15</v>
      </c>
      <c r="G103" s="6" t="s">
        <v>16</v>
      </c>
      <c r="I103" t="s">
        <v>18</v>
      </c>
      <c r="J103" s="7" t="s">
        <v>15</v>
      </c>
      <c r="K103" s="6" t="s">
        <v>16</v>
      </c>
    </row>
    <row r="104" spans="1:12" ht="18" thickTop="1" thickBot="1">
      <c r="A104" t="s">
        <v>35</v>
      </c>
      <c r="B104" s="113">
        <v>18909</v>
      </c>
      <c r="C104" s="132">
        <v>0.503</v>
      </c>
      <c r="D104" s="132"/>
      <c r="E104" t="s">
        <v>35</v>
      </c>
      <c r="F104" s="54" t="s">
        <v>47</v>
      </c>
      <c r="G104" s="132">
        <v>0.45300000000000001</v>
      </c>
      <c r="H104" s="132"/>
      <c r="I104" t="s">
        <v>35</v>
      </c>
      <c r="J104" s="54">
        <v>7832</v>
      </c>
      <c r="K104" s="132">
        <v>0.59599999999999997</v>
      </c>
      <c r="L104" s="132"/>
    </row>
    <row r="105" spans="1:12" ht="17" thickTop="1">
      <c r="A105" t="s">
        <v>30</v>
      </c>
      <c r="B105" s="33">
        <v>44903</v>
      </c>
      <c r="C105" s="132">
        <v>0.47399999999999998</v>
      </c>
      <c r="D105" s="132"/>
      <c r="E105" t="s">
        <v>30</v>
      </c>
      <c r="F105" s="33">
        <v>25824</v>
      </c>
      <c r="G105" s="132">
        <v>0.27300000000000002</v>
      </c>
      <c r="H105" s="132"/>
      <c r="I105" t="s">
        <v>30</v>
      </c>
      <c r="J105" s="33">
        <v>19079</v>
      </c>
      <c r="K105" s="132">
        <v>0.20200000000000001</v>
      </c>
      <c r="L105" s="132"/>
    </row>
    <row r="106" spans="1:12">
      <c r="A106" t="s">
        <v>29</v>
      </c>
      <c r="B106" s="33">
        <v>59476</v>
      </c>
      <c r="C106" s="132">
        <v>0.56799999999999995</v>
      </c>
      <c r="E106" t="s">
        <v>29</v>
      </c>
      <c r="F106" s="33">
        <v>36050</v>
      </c>
      <c r="G106" s="132">
        <v>0.53300000000000003</v>
      </c>
      <c r="I106" t="s">
        <v>29</v>
      </c>
      <c r="J106" s="33">
        <v>23426</v>
      </c>
      <c r="K106" s="132">
        <v>0.63100000000000001</v>
      </c>
    </row>
    <row r="107" spans="1:12">
      <c r="A107" t="s">
        <v>20</v>
      </c>
      <c r="B107" s="21">
        <v>29859</v>
      </c>
      <c r="C107" s="132">
        <v>0.49099999999999999</v>
      </c>
      <c r="E107" t="s">
        <v>20</v>
      </c>
      <c r="F107" s="21">
        <v>17297</v>
      </c>
      <c r="G107" s="132">
        <v>0.44400000000000001</v>
      </c>
      <c r="I107" t="s">
        <v>20</v>
      </c>
      <c r="J107" s="21">
        <v>12562</v>
      </c>
      <c r="K107" s="132">
        <v>0.57399999999999995</v>
      </c>
    </row>
    <row r="108" spans="1:12">
      <c r="A108" t="s">
        <v>19</v>
      </c>
      <c r="B108" s="75" t="s">
        <v>37</v>
      </c>
      <c r="C108" s="132"/>
      <c r="E108" t="s">
        <v>19</v>
      </c>
      <c r="F108" t="s">
        <v>37</v>
      </c>
      <c r="G108" s="132"/>
      <c r="I108" t="s">
        <v>19</v>
      </c>
      <c r="J108" t="s">
        <v>37</v>
      </c>
      <c r="K108" s="132"/>
    </row>
    <row r="109" spans="1:12">
      <c r="A109" t="s">
        <v>34</v>
      </c>
      <c r="B109" s="50">
        <v>1173</v>
      </c>
      <c r="C109" s="132">
        <v>0.19120000000000001</v>
      </c>
      <c r="E109" t="s">
        <v>34</v>
      </c>
      <c r="F109" s="50">
        <v>736</v>
      </c>
      <c r="G109" s="132">
        <v>0.1782</v>
      </c>
      <c r="I109" t="s">
        <v>34</v>
      </c>
      <c r="J109" s="50">
        <v>437</v>
      </c>
      <c r="K109" s="132">
        <v>0.21809999999999999</v>
      </c>
    </row>
    <row r="110" spans="1:12">
      <c r="B110" s="175" t="s">
        <v>11</v>
      </c>
      <c r="C110" s="176"/>
      <c r="F110" s="175" t="s">
        <v>11</v>
      </c>
      <c r="G110" s="176"/>
      <c r="J110" s="175" t="s">
        <v>11</v>
      </c>
      <c r="K110" s="176"/>
    </row>
    <row r="111" spans="1:12" ht="17" thickBot="1">
      <c r="A111" t="s">
        <v>18</v>
      </c>
      <c r="B111" s="7" t="s">
        <v>15</v>
      </c>
      <c r="C111" s="6" t="s">
        <v>16</v>
      </c>
      <c r="E111" t="s">
        <v>18</v>
      </c>
      <c r="F111" s="7" t="s">
        <v>15</v>
      </c>
      <c r="G111" s="6" t="s">
        <v>16</v>
      </c>
      <c r="I111" t="s">
        <v>18</v>
      </c>
      <c r="J111" s="7" t="s">
        <v>15</v>
      </c>
      <c r="K111" s="6" t="s">
        <v>16</v>
      </c>
    </row>
    <row r="112" spans="1:12" ht="18" thickTop="1" thickBot="1">
      <c r="A112" t="s">
        <v>35</v>
      </c>
      <c r="B112" s="113">
        <v>491767</v>
      </c>
      <c r="C112" s="132">
        <v>0.443</v>
      </c>
      <c r="E112" t="s">
        <v>35</v>
      </c>
      <c r="F112" s="54">
        <v>315260</v>
      </c>
      <c r="G112" s="132">
        <v>0.41</v>
      </c>
      <c r="I112" t="s">
        <v>35</v>
      </c>
      <c r="J112" s="54">
        <v>176507</v>
      </c>
      <c r="K112" s="132">
        <v>0.51500000000000001</v>
      </c>
    </row>
    <row r="113" spans="1:11" ht="18" thickTop="1" thickBot="1">
      <c r="A113" t="s">
        <v>30</v>
      </c>
      <c r="B113" s="81">
        <v>962403</v>
      </c>
      <c r="C113" s="132">
        <v>0.39300000000000002</v>
      </c>
      <c r="E113" t="s">
        <v>30</v>
      </c>
      <c r="F113" s="33">
        <v>595471</v>
      </c>
      <c r="G113" s="132">
        <v>0.24299999999999999</v>
      </c>
      <c r="I113" t="s">
        <v>30</v>
      </c>
      <c r="J113" s="33">
        <v>366932</v>
      </c>
      <c r="K113" s="132">
        <v>0.15</v>
      </c>
    </row>
    <row r="114" spans="1:11" ht="17" thickTop="1">
      <c r="A114" t="s">
        <v>29</v>
      </c>
      <c r="B114" s="33">
        <v>816002</v>
      </c>
      <c r="C114" s="132">
        <v>0.41</v>
      </c>
      <c r="E114" t="s">
        <v>29</v>
      </c>
      <c r="F114" s="33">
        <v>511437</v>
      </c>
      <c r="G114" s="132">
        <v>0.379</v>
      </c>
      <c r="I114" t="s">
        <v>29</v>
      </c>
      <c r="J114" s="33">
        <v>304565</v>
      </c>
      <c r="K114" s="132">
        <v>0.47499999999999998</v>
      </c>
    </row>
    <row r="115" spans="1:11">
      <c r="A115" t="s">
        <v>20</v>
      </c>
      <c r="B115" s="21">
        <v>779480</v>
      </c>
      <c r="C115" s="132">
        <v>0.41399999999999998</v>
      </c>
      <c r="E115" t="s">
        <v>20</v>
      </c>
      <c r="F115" s="21">
        <v>483963</v>
      </c>
      <c r="G115" s="132">
        <v>0.38200000000000001</v>
      </c>
      <c r="I115" t="s">
        <v>20</v>
      </c>
      <c r="J115" s="21">
        <v>295517</v>
      </c>
      <c r="K115" s="132">
        <v>0.48</v>
      </c>
    </row>
    <row r="116" spans="1:11">
      <c r="A116" t="s">
        <v>19</v>
      </c>
      <c r="B116" t="s">
        <v>37</v>
      </c>
      <c r="C116" s="132"/>
      <c r="E116" t="s">
        <v>19</v>
      </c>
      <c r="F116" t="s">
        <v>37</v>
      </c>
      <c r="G116" s="132"/>
      <c r="I116" t="s">
        <v>19</v>
      </c>
      <c r="J116" t="s">
        <v>37</v>
      </c>
      <c r="K116" s="132"/>
    </row>
    <row r="117" spans="1:11">
      <c r="A117" t="s">
        <v>34</v>
      </c>
      <c r="B117" s="50">
        <v>34932</v>
      </c>
      <c r="C117" s="132">
        <v>0.30449999999999999</v>
      </c>
      <c r="E117" t="s">
        <v>34</v>
      </c>
      <c r="F117" s="50">
        <v>23220</v>
      </c>
      <c r="G117" s="132">
        <v>0.28589999999999999</v>
      </c>
      <c r="I117" t="s">
        <v>34</v>
      </c>
      <c r="J117" s="50">
        <v>11712</v>
      </c>
      <c r="K117" s="132">
        <v>0.1021</v>
      </c>
    </row>
    <row r="143" spans="1:15" ht="57">
      <c r="A143" s="154"/>
      <c r="B143" s="177" t="s">
        <v>10</v>
      </c>
      <c r="C143" s="178"/>
      <c r="D143" s="154"/>
      <c r="E143" s="154"/>
      <c r="F143" s="177" t="s">
        <v>10</v>
      </c>
      <c r="G143" s="178"/>
      <c r="H143" s="154"/>
      <c r="I143" s="154"/>
      <c r="J143" s="177" t="s">
        <v>10</v>
      </c>
      <c r="K143" s="178"/>
      <c r="M143" t="s">
        <v>18</v>
      </c>
      <c r="N143" s="152" t="s">
        <v>88</v>
      </c>
      <c r="O143" s="153" t="s">
        <v>89</v>
      </c>
    </row>
    <row r="144" spans="1:15" ht="17" thickBot="1">
      <c r="A144" s="154" t="s">
        <v>18</v>
      </c>
      <c r="B144" s="155" t="s">
        <v>15</v>
      </c>
      <c r="C144" s="156" t="s">
        <v>16</v>
      </c>
      <c r="D144" s="154"/>
      <c r="E144" s="154" t="s">
        <v>18</v>
      </c>
      <c r="F144" s="155" t="s">
        <v>15</v>
      </c>
      <c r="G144" s="156" t="s">
        <v>16</v>
      </c>
      <c r="H144" s="154"/>
      <c r="I144" s="154" t="s">
        <v>18</v>
      </c>
      <c r="J144" s="155" t="s">
        <v>15</v>
      </c>
      <c r="K144" s="156" t="s">
        <v>16</v>
      </c>
      <c r="M144" t="s">
        <v>35</v>
      </c>
      <c r="N144" s="132">
        <v>0.192</v>
      </c>
      <c r="O144" s="132">
        <v>0.20699999999999999</v>
      </c>
    </row>
    <row r="145" spans="1:15" ht="18" thickTop="1" thickBot="1">
      <c r="A145" s="154" t="s">
        <v>35</v>
      </c>
      <c r="B145" s="157">
        <v>9764</v>
      </c>
      <c r="C145" s="158">
        <v>0.188</v>
      </c>
      <c r="D145" s="154"/>
      <c r="E145" s="154" t="s">
        <v>35</v>
      </c>
      <c r="F145" s="159">
        <v>6817</v>
      </c>
      <c r="G145" s="158">
        <v>0.19400000000000001</v>
      </c>
      <c r="H145" s="154"/>
      <c r="I145" s="154" t="s">
        <v>35</v>
      </c>
      <c r="J145" s="159">
        <v>2946</v>
      </c>
      <c r="K145" s="158">
        <v>0.17499999999999999</v>
      </c>
      <c r="M145" t="s">
        <v>30</v>
      </c>
      <c r="N145" s="132">
        <v>7.2999999999999995E-2</v>
      </c>
      <c r="O145" s="132">
        <v>7.0000000000000007E-2</v>
      </c>
    </row>
    <row r="146" spans="1:15" ht="17" thickTop="1">
      <c r="A146" s="154" t="s">
        <v>30</v>
      </c>
      <c r="B146" s="169">
        <v>24281</v>
      </c>
      <c r="C146" s="158">
        <v>0.19900000000000001</v>
      </c>
      <c r="D146" s="154"/>
      <c r="E146" s="154" t="s">
        <v>30</v>
      </c>
      <c r="F146" s="169">
        <v>16446</v>
      </c>
      <c r="G146" s="158">
        <v>0.13500000000000001</v>
      </c>
      <c r="H146" s="154"/>
      <c r="I146" s="154" t="s">
        <v>30</v>
      </c>
      <c r="J146" s="169">
        <v>7835</v>
      </c>
      <c r="K146" s="158">
        <v>6.4000000000000001E-2</v>
      </c>
      <c r="M146" t="s">
        <v>29</v>
      </c>
      <c r="N146" s="132">
        <v>0.183</v>
      </c>
      <c r="O146" s="132">
        <v>0.20899999999999999</v>
      </c>
    </row>
    <row r="147" spans="1:15">
      <c r="A147" s="154" t="s">
        <v>29</v>
      </c>
      <c r="B147" s="169">
        <v>26887</v>
      </c>
      <c r="C147" s="158">
        <v>0.19600000000000001</v>
      </c>
      <c r="D147" s="154"/>
      <c r="E147" s="154" t="s">
        <v>29</v>
      </c>
      <c r="F147" s="169">
        <v>18973</v>
      </c>
      <c r="G147" s="158">
        <v>0.20399999999999999</v>
      </c>
      <c r="H147" s="154"/>
      <c r="I147" s="154" t="s">
        <v>29</v>
      </c>
      <c r="J147" s="169">
        <v>7914</v>
      </c>
      <c r="K147" s="158">
        <v>0.17899999999999999</v>
      </c>
      <c r="M147" t="s">
        <v>20</v>
      </c>
      <c r="N147" s="132">
        <v>0.183</v>
      </c>
      <c r="O147" s="132">
        <v>0.21199999999999999</v>
      </c>
    </row>
    <row r="148" spans="1:15">
      <c r="A148" s="154" t="s">
        <v>20</v>
      </c>
      <c r="B148" s="170">
        <v>15780</v>
      </c>
      <c r="C148" s="158">
        <v>0.192</v>
      </c>
      <c r="D148" s="154"/>
      <c r="E148" s="154" t="s">
        <v>20</v>
      </c>
      <c r="F148" s="170">
        <v>10969</v>
      </c>
      <c r="G148" s="158">
        <v>0.19800000000000001</v>
      </c>
      <c r="H148" s="154"/>
      <c r="I148" s="154" t="s">
        <v>20</v>
      </c>
      <c r="J148" s="170">
        <v>4811</v>
      </c>
      <c r="K148" s="158">
        <v>0.18</v>
      </c>
      <c r="M148" t="s">
        <v>19</v>
      </c>
      <c r="N148" s="132"/>
      <c r="O148" s="132"/>
    </row>
    <row r="149" spans="1:15">
      <c r="A149" s="154" t="s">
        <v>19</v>
      </c>
      <c r="B149" s="171">
        <v>13371</v>
      </c>
      <c r="C149" s="158">
        <v>0.19</v>
      </c>
      <c r="D149" s="154"/>
      <c r="E149" s="154" t="s">
        <v>19</v>
      </c>
      <c r="F149" s="170">
        <v>9339</v>
      </c>
      <c r="G149" s="158">
        <v>0.19600000000000001</v>
      </c>
      <c r="H149" s="154"/>
      <c r="I149" s="154" t="s">
        <v>19</v>
      </c>
      <c r="J149" s="170">
        <v>4032</v>
      </c>
      <c r="K149" s="158">
        <v>0.18</v>
      </c>
      <c r="M149" t="s">
        <v>34</v>
      </c>
      <c r="N149" s="132">
        <v>0.13270000000000001</v>
      </c>
      <c r="O149" s="132">
        <v>4.2900000000000001E-2</v>
      </c>
    </row>
    <row r="150" spans="1:15">
      <c r="A150" s="154" t="s">
        <v>34</v>
      </c>
      <c r="B150" s="154">
        <v>1185</v>
      </c>
      <c r="C150" s="158">
        <v>0.125</v>
      </c>
      <c r="D150" s="154"/>
      <c r="E150" s="154" t="s">
        <v>34</v>
      </c>
      <c r="F150" s="154">
        <v>855</v>
      </c>
      <c r="G150" s="158">
        <v>0.125</v>
      </c>
      <c r="H150" s="154"/>
      <c r="I150" s="154" t="s">
        <v>34</v>
      </c>
      <c r="J150" s="154">
        <v>330</v>
      </c>
      <c r="K150" s="158">
        <v>0.125</v>
      </c>
    </row>
    <row r="151" spans="1:15">
      <c r="A151" s="154"/>
      <c r="B151" s="177" t="s">
        <v>10</v>
      </c>
      <c r="C151" s="178"/>
      <c r="D151" s="158"/>
      <c r="E151" s="154"/>
      <c r="F151" s="177" t="s">
        <v>10</v>
      </c>
      <c r="G151" s="178"/>
      <c r="H151" s="158"/>
      <c r="I151" s="154"/>
      <c r="J151" s="177" t="s">
        <v>10</v>
      </c>
      <c r="K151" s="178"/>
      <c r="L151" s="132"/>
    </row>
    <row r="152" spans="1:15" ht="17" thickBot="1">
      <c r="A152" s="154" t="s">
        <v>18</v>
      </c>
      <c r="B152" s="155" t="s">
        <v>15</v>
      </c>
      <c r="C152" s="156" t="s">
        <v>16</v>
      </c>
      <c r="D152" s="158"/>
      <c r="E152" s="154" t="s">
        <v>18</v>
      </c>
      <c r="F152" s="155" t="s">
        <v>15</v>
      </c>
      <c r="G152" s="156" t="s">
        <v>16</v>
      </c>
      <c r="H152" s="158"/>
      <c r="I152" s="154" t="s">
        <v>18</v>
      </c>
      <c r="J152" s="155" t="s">
        <v>15</v>
      </c>
      <c r="K152" s="156" t="s">
        <v>16</v>
      </c>
      <c r="L152" s="132"/>
    </row>
    <row r="153" spans="1:15" ht="18" thickTop="1" thickBot="1">
      <c r="A153" s="154" t="s">
        <v>35</v>
      </c>
      <c r="B153" s="162">
        <v>312679</v>
      </c>
      <c r="C153" s="158">
        <v>0.21</v>
      </c>
      <c r="D153" s="154"/>
      <c r="E153" s="154" t="s">
        <v>35</v>
      </c>
      <c r="F153" s="163">
        <v>228051</v>
      </c>
      <c r="G153" s="158">
        <v>0.21</v>
      </c>
      <c r="H153" s="154"/>
      <c r="I153" s="154" t="s">
        <v>35</v>
      </c>
      <c r="J153" s="163">
        <v>84627</v>
      </c>
      <c r="K153" s="158">
        <v>0.2</v>
      </c>
    </row>
    <row r="154" spans="1:15" ht="17" thickTop="1">
      <c r="A154" s="154" t="s">
        <v>30</v>
      </c>
      <c r="B154" s="160">
        <v>688774</v>
      </c>
      <c r="C154" s="158">
        <v>0.219</v>
      </c>
      <c r="D154" s="154"/>
      <c r="E154" s="154" t="s">
        <v>30</v>
      </c>
      <c r="F154" s="160">
        <v>487822</v>
      </c>
      <c r="G154" s="158">
        <v>0.155</v>
      </c>
      <c r="H154" s="154"/>
      <c r="I154" s="154" t="s">
        <v>30</v>
      </c>
      <c r="J154" s="160">
        <v>200952</v>
      </c>
      <c r="K154" s="158">
        <v>6.4000000000000001E-2</v>
      </c>
    </row>
    <row r="155" spans="1:15">
      <c r="A155" s="154" t="s">
        <v>29</v>
      </c>
      <c r="B155" s="160">
        <v>554498</v>
      </c>
      <c r="C155" s="158">
        <v>0.214</v>
      </c>
      <c r="D155" s="154"/>
      <c r="E155" s="154" t="s">
        <v>29</v>
      </c>
      <c r="F155" s="160">
        <v>397077</v>
      </c>
      <c r="G155" s="158">
        <v>0.218</v>
      </c>
      <c r="H155" s="154"/>
      <c r="I155" s="154" t="s">
        <v>29</v>
      </c>
      <c r="J155" s="160">
        <v>157421</v>
      </c>
      <c r="K155" s="158">
        <v>0.20599999999999999</v>
      </c>
    </row>
    <row r="156" spans="1:15">
      <c r="A156" s="154" t="s">
        <v>20</v>
      </c>
      <c r="B156" s="169">
        <v>529104</v>
      </c>
      <c r="C156" s="158">
        <v>0.21299999999999999</v>
      </c>
      <c r="D156" s="154"/>
      <c r="E156" s="154" t="s">
        <v>20</v>
      </c>
      <c r="F156" s="169">
        <v>375404</v>
      </c>
      <c r="G156" s="158">
        <v>0.215</v>
      </c>
      <c r="H156" s="154"/>
      <c r="I156" s="154" t="s">
        <v>20</v>
      </c>
      <c r="J156" s="169">
        <v>153700</v>
      </c>
      <c r="K156" s="158">
        <v>0.20699999999999999</v>
      </c>
    </row>
    <row r="157" spans="1:15">
      <c r="A157" s="154" t="s">
        <v>19</v>
      </c>
      <c r="B157" s="169">
        <v>525545</v>
      </c>
      <c r="C157" s="158">
        <v>0.217</v>
      </c>
      <c r="D157" s="154"/>
      <c r="E157" s="154" t="s">
        <v>19</v>
      </c>
      <c r="F157" s="169">
        <v>370069</v>
      </c>
      <c r="G157" s="158">
        <v>0.218</v>
      </c>
      <c r="H157" s="154"/>
      <c r="I157" s="154" t="s">
        <v>19</v>
      </c>
      <c r="J157" s="169">
        <v>155476</v>
      </c>
      <c r="K157" s="158">
        <v>0.216</v>
      </c>
    </row>
    <row r="158" spans="1:15">
      <c r="A158" s="154" t="s">
        <v>34</v>
      </c>
      <c r="B158" s="164">
        <v>25846</v>
      </c>
      <c r="C158" s="158">
        <v>0.13800000000000001</v>
      </c>
      <c r="D158" s="154"/>
      <c r="E158" s="154" t="s">
        <v>34</v>
      </c>
      <c r="F158" s="164">
        <v>19428</v>
      </c>
      <c r="G158" s="158">
        <v>0.13800000000000001</v>
      </c>
      <c r="H158" s="154"/>
      <c r="I158" s="154" t="s">
        <v>34</v>
      </c>
      <c r="J158" s="164">
        <v>6418</v>
      </c>
      <c r="K158" s="158">
        <v>0.13700000000000001</v>
      </c>
    </row>
    <row r="159" spans="1:15">
      <c r="A159" s="154"/>
      <c r="B159" s="154"/>
      <c r="C159" s="154"/>
      <c r="D159" s="158"/>
      <c r="E159" s="154"/>
      <c r="F159" s="154"/>
      <c r="G159" s="158"/>
      <c r="H159" s="154"/>
      <c r="I159" s="154"/>
      <c r="J159" s="154"/>
      <c r="K159" s="154"/>
      <c r="L159" s="132"/>
    </row>
    <row r="160" spans="1:15">
      <c r="D160" s="132"/>
      <c r="H160" s="132"/>
      <c r="L160" s="132"/>
    </row>
    <row r="161" spans="1:12">
      <c r="A161" s="154"/>
      <c r="B161" s="177" t="s">
        <v>10</v>
      </c>
      <c r="C161" s="178"/>
      <c r="D161" s="154"/>
      <c r="E161" s="154"/>
      <c r="F161" s="177" t="s">
        <v>10</v>
      </c>
      <c r="G161" s="178"/>
      <c r="H161" s="154"/>
      <c r="I161" s="154"/>
      <c r="J161" s="177" t="s">
        <v>10</v>
      </c>
      <c r="K161" s="178"/>
    </row>
    <row r="162" spans="1:12" ht="17" thickBot="1">
      <c r="A162" s="154" t="s">
        <v>18</v>
      </c>
      <c r="B162" s="155" t="s">
        <v>15</v>
      </c>
      <c r="C162" s="156" t="s">
        <v>16</v>
      </c>
      <c r="D162" s="154"/>
      <c r="E162" s="154" t="s">
        <v>18</v>
      </c>
      <c r="F162" s="155" t="s">
        <v>15</v>
      </c>
      <c r="G162" s="156" t="s">
        <v>16</v>
      </c>
      <c r="H162" s="154"/>
      <c r="I162" s="154" t="s">
        <v>18</v>
      </c>
      <c r="J162" s="155" t="s">
        <v>15</v>
      </c>
      <c r="K162" s="156" t="s">
        <v>16</v>
      </c>
    </row>
    <row r="163" spans="1:12" ht="18" thickTop="1" thickBot="1">
      <c r="A163" s="154" t="s">
        <v>35</v>
      </c>
      <c r="B163" s="162">
        <v>2402</v>
      </c>
      <c r="C163" s="158">
        <v>0.16600000000000001</v>
      </c>
      <c r="D163" s="154"/>
      <c r="E163" s="154" t="s">
        <v>35</v>
      </c>
      <c r="F163" s="163">
        <v>1973</v>
      </c>
      <c r="G163" s="158">
        <v>0.184</v>
      </c>
      <c r="H163" s="154"/>
      <c r="I163" s="154" t="s">
        <v>35</v>
      </c>
      <c r="J163" s="159">
        <v>429</v>
      </c>
      <c r="K163" s="158">
        <v>0.11600000000000001</v>
      </c>
    </row>
    <row r="164" spans="1:12" ht="17" thickTop="1">
      <c r="A164" s="154" t="s">
        <v>30</v>
      </c>
      <c r="B164" s="160">
        <v>4506</v>
      </c>
      <c r="C164" s="158">
        <v>0.16400000000000001</v>
      </c>
      <c r="D164" s="154"/>
      <c r="E164" s="154" t="s">
        <v>30</v>
      </c>
      <c r="F164" s="160">
        <v>3545</v>
      </c>
      <c r="G164" s="158">
        <v>0.129</v>
      </c>
      <c r="H164" s="154"/>
      <c r="I164" s="154" t="s">
        <v>30</v>
      </c>
      <c r="J164" s="160">
        <v>961</v>
      </c>
      <c r="K164" s="158">
        <v>3.5000000000000003E-2</v>
      </c>
    </row>
    <row r="165" spans="1:12">
      <c r="A165" s="154" t="s">
        <v>29</v>
      </c>
      <c r="B165" s="172">
        <v>5789</v>
      </c>
      <c r="C165" s="158">
        <v>0.18</v>
      </c>
      <c r="D165" s="154"/>
      <c r="E165" s="154" t="s">
        <v>29</v>
      </c>
      <c r="F165" s="172">
        <v>4672</v>
      </c>
      <c r="G165" s="158">
        <v>0.186</v>
      </c>
      <c r="H165" s="154"/>
      <c r="I165" s="154" t="s">
        <v>29</v>
      </c>
      <c r="J165" s="172">
        <v>1117</v>
      </c>
      <c r="K165" s="158">
        <v>0.159</v>
      </c>
    </row>
    <row r="166" spans="1:12">
      <c r="A166" s="154" t="s">
        <v>20</v>
      </c>
      <c r="B166" s="173">
        <v>3638</v>
      </c>
      <c r="C166" s="158">
        <v>0.17</v>
      </c>
      <c r="D166" s="154"/>
      <c r="E166" s="154" t="s">
        <v>20</v>
      </c>
      <c r="F166" s="173">
        <v>2842</v>
      </c>
      <c r="G166" s="158">
        <v>0.17199999999999999</v>
      </c>
      <c r="H166" s="154"/>
      <c r="I166" s="154" t="s">
        <v>20</v>
      </c>
      <c r="J166" s="173">
        <v>796</v>
      </c>
      <c r="K166" s="158">
        <v>0.16300000000000001</v>
      </c>
    </row>
    <row r="167" spans="1:12">
      <c r="A167" s="154" t="s">
        <v>19</v>
      </c>
      <c r="B167" s="166" t="s">
        <v>37</v>
      </c>
      <c r="C167" s="158"/>
      <c r="D167" s="158"/>
      <c r="E167" s="154" t="s">
        <v>19</v>
      </c>
      <c r="F167" s="154" t="s">
        <v>37</v>
      </c>
      <c r="G167" s="158"/>
      <c r="H167" s="158"/>
      <c r="I167" s="154" t="s">
        <v>19</v>
      </c>
      <c r="J167" s="154" t="s">
        <v>37</v>
      </c>
      <c r="K167" s="158"/>
      <c r="L167" s="132"/>
    </row>
    <row r="168" spans="1:12">
      <c r="A168" s="154" t="s">
        <v>34</v>
      </c>
      <c r="B168" s="167">
        <v>361</v>
      </c>
      <c r="C168" s="158">
        <v>0.1171</v>
      </c>
      <c r="D168" s="158"/>
      <c r="E168" s="154" t="s">
        <v>34</v>
      </c>
      <c r="F168" s="167">
        <v>297</v>
      </c>
      <c r="G168" s="158">
        <v>0.1192</v>
      </c>
      <c r="H168" s="158"/>
      <c r="I168" s="154" t="s">
        <v>34</v>
      </c>
      <c r="J168" s="167">
        <v>64</v>
      </c>
      <c r="K168" s="158">
        <v>0.10829999999999999</v>
      </c>
      <c r="L168" s="132"/>
    </row>
    <row r="169" spans="1:12">
      <c r="A169" s="154"/>
      <c r="B169" s="177" t="s">
        <v>10</v>
      </c>
      <c r="C169" s="178"/>
      <c r="D169" s="154"/>
      <c r="E169" s="154"/>
      <c r="F169" s="177" t="s">
        <v>10</v>
      </c>
      <c r="G169" s="178"/>
      <c r="H169" s="154"/>
      <c r="I169" s="154"/>
      <c r="J169" s="177" t="s">
        <v>10</v>
      </c>
      <c r="K169" s="178"/>
    </row>
    <row r="170" spans="1:12" ht="17" thickBot="1">
      <c r="A170" s="154" t="s">
        <v>18</v>
      </c>
      <c r="B170" s="155" t="s">
        <v>15</v>
      </c>
      <c r="C170" s="156" t="s">
        <v>16</v>
      </c>
      <c r="D170" s="154"/>
      <c r="E170" s="154" t="s">
        <v>18</v>
      </c>
      <c r="F170" s="155" t="s">
        <v>15</v>
      </c>
      <c r="G170" s="156" t="s">
        <v>16</v>
      </c>
      <c r="H170" s="154"/>
      <c r="I170" s="154" t="s">
        <v>18</v>
      </c>
      <c r="J170" s="155" t="s">
        <v>15</v>
      </c>
      <c r="K170" s="156" t="s">
        <v>16</v>
      </c>
    </row>
    <row r="171" spans="1:12" ht="18" thickTop="1" thickBot="1">
      <c r="A171" s="154" t="s">
        <v>35</v>
      </c>
      <c r="B171" s="162">
        <v>70830</v>
      </c>
      <c r="C171" s="158">
        <v>0.184</v>
      </c>
      <c r="D171" s="154"/>
      <c r="E171" s="154" t="s">
        <v>35</v>
      </c>
      <c r="F171" s="163">
        <v>56991</v>
      </c>
      <c r="G171" s="158">
        <v>0.184</v>
      </c>
      <c r="H171" s="154"/>
      <c r="I171" s="154" t="s">
        <v>35</v>
      </c>
      <c r="J171" s="163">
        <v>13838</v>
      </c>
      <c r="K171" s="158">
        <v>0.185</v>
      </c>
    </row>
    <row r="172" spans="1:12" ht="18" thickTop="1" thickBot="1">
      <c r="A172" s="154" t="s">
        <v>30</v>
      </c>
      <c r="B172" s="168">
        <v>138982</v>
      </c>
      <c r="C172" s="158">
        <v>0.20100000000000001</v>
      </c>
      <c r="D172" s="154"/>
      <c r="E172" s="154" t="s">
        <v>30</v>
      </c>
      <c r="F172" s="160">
        <v>109707</v>
      </c>
      <c r="G172" s="158">
        <v>0.159</v>
      </c>
      <c r="H172" s="154"/>
      <c r="I172" s="154" t="s">
        <v>30</v>
      </c>
      <c r="J172" s="160">
        <v>29275</v>
      </c>
      <c r="K172" s="158">
        <v>4.2000000000000003E-2</v>
      </c>
    </row>
    <row r="173" spans="1:12" ht="17" thickTop="1">
      <c r="A173" s="154" t="s">
        <v>29</v>
      </c>
      <c r="B173" s="165">
        <v>115358</v>
      </c>
      <c r="C173" s="158">
        <v>0.192</v>
      </c>
      <c r="D173" s="154"/>
      <c r="E173" s="154" t="s">
        <v>29</v>
      </c>
      <c r="F173" s="165">
        <v>92359</v>
      </c>
      <c r="G173" s="158">
        <v>0.19400000000000001</v>
      </c>
      <c r="H173" s="154"/>
      <c r="I173" s="154" t="s">
        <v>29</v>
      </c>
      <c r="J173" s="165">
        <v>22999</v>
      </c>
      <c r="K173" s="158">
        <v>0.186</v>
      </c>
    </row>
    <row r="174" spans="1:12">
      <c r="A174" s="154" t="s">
        <v>20</v>
      </c>
      <c r="B174" s="160">
        <v>113871</v>
      </c>
      <c r="C174" s="158">
        <v>0.188</v>
      </c>
      <c r="D174" s="154"/>
      <c r="E174" s="154" t="s">
        <v>20</v>
      </c>
      <c r="F174" s="160">
        <v>90803</v>
      </c>
      <c r="G174" s="158">
        <v>0.19</v>
      </c>
      <c r="H174" s="154"/>
      <c r="I174" s="154" t="s">
        <v>20</v>
      </c>
      <c r="J174" s="160">
        <v>23068</v>
      </c>
      <c r="K174" s="158">
        <v>0.183</v>
      </c>
    </row>
    <row r="175" spans="1:12">
      <c r="A175" s="154" t="s">
        <v>19</v>
      </c>
      <c r="B175" s="174" t="s">
        <v>37</v>
      </c>
      <c r="C175" s="158"/>
      <c r="D175" s="158"/>
      <c r="E175" s="154" t="s">
        <v>19</v>
      </c>
      <c r="F175" s="174" t="s">
        <v>37</v>
      </c>
      <c r="G175" s="158"/>
      <c r="H175" s="158"/>
      <c r="I175" s="154" t="s">
        <v>19</v>
      </c>
      <c r="J175" s="174" t="s">
        <v>37</v>
      </c>
      <c r="K175" s="158"/>
      <c r="L175" s="132"/>
    </row>
    <row r="176" spans="1:12">
      <c r="A176" s="154" t="s">
        <v>34</v>
      </c>
      <c r="B176" s="167">
        <v>8303</v>
      </c>
      <c r="C176" s="158">
        <v>0.1295</v>
      </c>
      <c r="D176" s="158"/>
      <c r="E176" s="154" t="s">
        <v>34</v>
      </c>
      <c r="F176" s="167">
        <v>6803</v>
      </c>
      <c r="G176" s="158">
        <v>0.12920000000000001</v>
      </c>
      <c r="H176" s="158"/>
      <c r="I176" s="154" t="s">
        <v>34</v>
      </c>
      <c r="J176" s="167">
        <v>1500</v>
      </c>
      <c r="K176" s="158">
        <v>2.3400000000000001E-2</v>
      </c>
      <c r="L176" s="132"/>
    </row>
    <row r="177" spans="1:12">
      <c r="A177" s="154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</row>
    <row r="179" spans="1:12">
      <c r="B179" s="175" t="s">
        <v>10</v>
      </c>
      <c r="C179" s="176"/>
      <c r="F179" s="175" t="s">
        <v>10</v>
      </c>
      <c r="G179" s="176"/>
      <c r="J179" s="175" t="s">
        <v>10</v>
      </c>
      <c r="K179" s="176"/>
    </row>
    <row r="180" spans="1:12" ht="17" thickBot="1">
      <c r="A180" t="s">
        <v>18</v>
      </c>
      <c r="B180" s="7" t="s">
        <v>15</v>
      </c>
      <c r="C180" s="6" t="s">
        <v>16</v>
      </c>
      <c r="E180" t="s">
        <v>18</v>
      </c>
      <c r="F180" s="7" t="s">
        <v>15</v>
      </c>
      <c r="G180" s="6" t="s">
        <v>16</v>
      </c>
      <c r="I180" t="s">
        <v>18</v>
      </c>
      <c r="J180" s="7" t="s">
        <v>15</v>
      </c>
      <c r="K180" s="6" t="s">
        <v>16</v>
      </c>
    </row>
    <row r="181" spans="1:12" ht="18" thickTop="1" thickBot="1">
      <c r="A181" t="s">
        <v>35</v>
      </c>
      <c r="B181" s="113">
        <v>7362</v>
      </c>
      <c r="C181" s="132">
        <v>0.19600000000000001</v>
      </c>
      <c r="E181" t="s">
        <v>35</v>
      </c>
      <c r="F181" s="54" t="s">
        <v>46</v>
      </c>
      <c r="G181" s="132">
        <v>0.19800000000000001</v>
      </c>
      <c r="I181" t="s">
        <v>35</v>
      </c>
      <c r="J181" s="54">
        <v>2517</v>
      </c>
      <c r="K181" s="132">
        <v>0.192</v>
      </c>
    </row>
    <row r="182" spans="1:12" ht="17" thickTop="1">
      <c r="A182" t="s">
        <v>30</v>
      </c>
      <c r="B182" s="33">
        <v>19775</v>
      </c>
      <c r="C182" s="132">
        <v>0.20899999999999999</v>
      </c>
      <c r="E182" t="s">
        <v>30</v>
      </c>
      <c r="F182" s="33">
        <v>12901</v>
      </c>
      <c r="G182" s="132">
        <v>0.13600000000000001</v>
      </c>
      <c r="I182" t="s">
        <v>30</v>
      </c>
      <c r="J182" s="33">
        <v>6874</v>
      </c>
      <c r="K182" s="132">
        <v>7.2999999999999995E-2</v>
      </c>
    </row>
    <row r="183" spans="1:12">
      <c r="A183" t="s">
        <v>29</v>
      </c>
      <c r="B183" s="33">
        <v>21065</v>
      </c>
      <c r="C183" s="132">
        <v>0.20100000000000001</v>
      </c>
      <c r="D183" s="132"/>
      <c r="E183" t="s">
        <v>29</v>
      </c>
      <c r="F183" s="33">
        <v>14276</v>
      </c>
      <c r="G183" s="132">
        <v>0.21099999999999999</v>
      </c>
      <c r="H183" s="132"/>
      <c r="I183" t="s">
        <v>29</v>
      </c>
      <c r="J183" s="33">
        <v>6789</v>
      </c>
      <c r="K183" s="132">
        <v>0.183</v>
      </c>
      <c r="L183" s="132"/>
    </row>
    <row r="184" spans="1:12">
      <c r="A184" t="s">
        <v>20</v>
      </c>
      <c r="B184" s="22">
        <v>12142</v>
      </c>
      <c r="C184" s="132">
        <v>0.2</v>
      </c>
      <c r="D184" s="132"/>
      <c r="E184" t="s">
        <v>20</v>
      </c>
      <c r="F184" s="22">
        <v>8127</v>
      </c>
      <c r="G184" s="132">
        <v>0.20899999999999999</v>
      </c>
      <c r="H184" s="132"/>
      <c r="I184" t="s">
        <v>20</v>
      </c>
      <c r="J184" s="22">
        <v>4015</v>
      </c>
      <c r="K184" s="132">
        <v>0.183</v>
      </c>
      <c r="L184" s="132"/>
    </row>
    <row r="185" spans="1:12">
      <c r="A185" t="s">
        <v>19</v>
      </c>
      <c r="B185" s="75" t="s">
        <v>37</v>
      </c>
      <c r="C185" s="132"/>
      <c r="E185" t="s">
        <v>19</v>
      </c>
      <c r="F185" t="s">
        <v>37</v>
      </c>
      <c r="G185" s="132"/>
      <c r="I185" t="s">
        <v>19</v>
      </c>
      <c r="J185" t="s">
        <v>37</v>
      </c>
      <c r="K185" s="132"/>
    </row>
    <row r="186" spans="1:12">
      <c r="A186" t="s">
        <v>34</v>
      </c>
      <c r="B186" s="50">
        <v>824</v>
      </c>
      <c r="C186" s="132">
        <v>0.1343</v>
      </c>
      <c r="E186" t="s">
        <v>34</v>
      </c>
      <c r="F186" s="50">
        <v>558</v>
      </c>
      <c r="G186" s="132">
        <v>0.1351</v>
      </c>
      <c r="I186" t="s">
        <v>34</v>
      </c>
      <c r="J186" s="50">
        <v>266</v>
      </c>
      <c r="K186" s="132">
        <v>0.13270000000000001</v>
      </c>
    </row>
    <row r="187" spans="1:12">
      <c r="B187" s="175" t="s">
        <v>10</v>
      </c>
      <c r="C187" s="176"/>
      <c r="F187" s="175" t="s">
        <v>10</v>
      </c>
      <c r="G187" s="176"/>
      <c r="J187" s="175" t="s">
        <v>10</v>
      </c>
      <c r="K187" s="176"/>
    </row>
    <row r="188" spans="1:12" ht="17" thickBot="1">
      <c r="A188" t="s">
        <v>18</v>
      </c>
      <c r="B188" s="7" t="s">
        <v>15</v>
      </c>
      <c r="C188" s="6" t="s">
        <v>16</v>
      </c>
      <c r="E188" t="s">
        <v>18</v>
      </c>
      <c r="F188" s="7" t="s">
        <v>15</v>
      </c>
      <c r="G188" s="6" t="s">
        <v>16</v>
      </c>
      <c r="I188" t="s">
        <v>18</v>
      </c>
      <c r="J188" s="7" t="s">
        <v>15</v>
      </c>
      <c r="K188" s="6" t="s">
        <v>16</v>
      </c>
    </row>
    <row r="189" spans="1:12" ht="18" thickTop="1" thickBot="1">
      <c r="A189" t="s">
        <v>35</v>
      </c>
      <c r="B189" s="113">
        <v>241849</v>
      </c>
      <c r="C189" s="132">
        <v>0.218</v>
      </c>
      <c r="E189" t="s">
        <v>35</v>
      </c>
      <c r="F189" s="54">
        <v>171060</v>
      </c>
      <c r="G189" s="132">
        <v>0.22</v>
      </c>
      <c r="I189" t="s">
        <v>35</v>
      </c>
      <c r="J189" s="54">
        <v>70789</v>
      </c>
      <c r="K189" s="132">
        <v>0.20699999999999999</v>
      </c>
    </row>
    <row r="190" spans="1:12" ht="18" thickTop="1" thickBot="1">
      <c r="A190" t="s">
        <v>30</v>
      </c>
      <c r="B190" s="81">
        <v>549792</v>
      </c>
      <c r="C190" s="132">
        <v>0.224</v>
      </c>
      <c r="E190" t="s">
        <v>30</v>
      </c>
      <c r="F190" s="33">
        <v>378115</v>
      </c>
      <c r="G190" s="132">
        <v>0.154</v>
      </c>
      <c r="I190" t="s">
        <v>30</v>
      </c>
      <c r="J190" s="33">
        <v>171677</v>
      </c>
      <c r="K190" s="132">
        <v>7.0000000000000007E-2</v>
      </c>
    </row>
    <row r="191" spans="1:12" ht="17" thickTop="1">
      <c r="A191" t="s">
        <v>29</v>
      </c>
      <c r="B191" s="33">
        <v>439105</v>
      </c>
      <c r="C191" s="132">
        <v>0.221</v>
      </c>
      <c r="E191" t="s">
        <v>29</v>
      </c>
      <c r="F191" s="33">
        <v>304691</v>
      </c>
      <c r="G191" s="132">
        <v>0.22600000000000001</v>
      </c>
      <c r="I191" t="s">
        <v>29</v>
      </c>
      <c r="J191" s="33">
        <v>134414</v>
      </c>
      <c r="K191" s="132">
        <v>0.20899999999999999</v>
      </c>
    </row>
    <row r="192" spans="1:12">
      <c r="A192" t="s">
        <v>20</v>
      </c>
      <c r="B192" s="21">
        <v>415237</v>
      </c>
      <c r="C192" s="132">
        <v>0.221</v>
      </c>
      <c r="E192" t="s">
        <v>20</v>
      </c>
      <c r="F192" s="21">
        <v>284605</v>
      </c>
      <c r="G192" s="132">
        <v>0.22500000000000001</v>
      </c>
      <c r="I192" t="s">
        <v>20</v>
      </c>
      <c r="J192" s="21">
        <v>130632</v>
      </c>
      <c r="K192" s="132">
        <v>0.21199999999999999</v>
      </c>
    </row>
    <row r="193" spans="1:11">
      <c r="A193" t="s">
        <v>19</v>
      </c>
      <c r="B193" t="s">
        <v>37</v>
      </c>
      <c r="C193" s="132"/>
      <c r="E193" t="s">
        <v>19</v>
      </c>
      <c r="F193" t="s">
        <v>37</v>
      </c>
      <c r="G193" s="132"/>
      <c r="I193" t="s">
        <v>19</v>
      </c>
      <c r="J193" t="s">
        <v>37</v>
      </c>
      <c r="K193" s="132"/>
    </row>
    <row r="194" spans="1:11">
      <c r="A194" t="s">
        <v>34</v>
      </c>
      <c r="B194" s="50">
        <v>17543</v>
      </c>
      <c r="C194" s="132">
        <v>0.15290000000000001</v>
      </c>
      <c r="E194" t="s">
        <v>34</v>
      </c>
      <c r="F194" s="50">
        <v>12625</v>
      </c>
      <c r="G194" s="132">
        <v>0.1555</v>
      </c>
      <c r="I194" t="s">
        <v>34</v>
      </c>
      <c r="J194" s="50">
        <v>4918</v>
      </c>
      <c r="K194" s="132">
        <v>4.2900000000000001E-2</v>
      </c>
    </row>
  </sheetData>
  <mergeCells count="43">
    <mergeCell ref="N36:O36"/>
    <mergeCell ref="P36:Q36"/>
    <mergeCell ref="R36:S36"/>
    <mergeCell ref="B72:C72"/>
    <mergeCell ref="B83:C83"/>
    <mergeCell ref="B64:C64"/>
    <mergeCell ref="F36:G36"/>
    <mergeCell ref="H36:I36"/>
    <mergeCell ref="J36:K36"/>
    <mergeCell ref="L36:M36"/>
    <mergeCell ref="B91:C91"/>
    <mergeCell ref="B102:C102"/>
    <mergeCell ref="B110:C110"/>
    <mergeCell ref="F110:G110"/>
    <mergeCell ref="J64:K64"/>
    <mergeCell ref="J72:K72"/>
    <mergeCell ref="J83:K83"/>
    <mergeCell ref="J91:K91"/>
    <mergeCell ref="J102:K102"/>
    <mergeCell ref="J110:K110"/>
    <mergeCell ref="F64:G64"/>
    <mergeCell ref="F72:G72"/>
    <mergeCell ref="F83:G83"/>
    <mergeCell ref="F91:G91"/>
    <mergeCell ref="F102:G102"/>
    <mergeCell ref="B143:C143"/>
    <mergeCell ref="B151:C151"/>
    <mergeCell ref="F143:G143"/>
    <mergeCell ref="F151:G151"/>
    <mergeCell ref="J143:K143"/>
    <mergeCell ref="J151:K151"/>
    <mergeCell ref="B161:C161"/>
    <mergeCell ref="B169:C169"/>
    <mergeCell ref="F161:G161"/>
    <mergeCell ref="F169:G169"/>
    <mergeCell ref="J161:K161"/>
    <mergeCell ref="J169:K169"/>
    <mergeCell ref="B179:C179"/>
    <mergeCell ref="B187:C187"/>
    <mergeCell ref="F179:G179"/>
    <mergeCell ref="F187:G187"/>
    <mergeCell ref="J179:K179"/>
    <mergeCell ref="J187:K18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9B97D-AD59-BD48-BF8F-E74926BC4220}">
  <dimension ref="A2:R114"/>
  <sheetViews>
    <sheetView tabSelected="1" topLeftCell="A53" workbookViewId="0">
      <selection activeCell="N93" sqref="N93"/>
    </sheetView>
  </sheetViews>
  <sheetFormatPr baseColWidth="10" defaultRowHeight="16"/>
  <sheetData>
    <row r="2" spans="1:4" ht="16" customHeight="1">
      <c r="A2" s="136" t="s">
        <v>18</v>
      </c>
      <c r="B2" s="137" t="s">
        <v>75</v>
      </c>
      <c r="C2" s="138" t="s">
        <v>65</v>
      </c>
      <c r="D2" s="137" t="s">
        <v>66</v>
      </c>
    </row>
    <row r="3" spans="1:4" ht="17">
      <c r="A3" s="136" t="s">
        <v>35</v>
      </c>
      <c r="B3" s="139">
        <v>52012</v>
      </c>
      <c r="C3" s="140">
        <v>2064312</v>
      </c>
      <c r="D3" s="141">
        <v>2.5195803735094308E-2</v>
      </c>
    </row>
    <row r="4" spans="1:4" ht="17">
      <c r="A4" s="136" t="s">
        <v>30</v>
      </c>
      <c r="B4" s="142">
        <v>122860</v>
      </c>
      <c r="C4" s="140">
        <v>2066692</v>
      </c>
      <c r="D4" s="141">
        <v>5.9447658383542393E-2</v>
      </c>
    </row>
    <row r="5" spans="1:4" ht="17">
      <c r="A5" s="136" t="s">
        <v>29</v>
      </c>
      <c r="B5" s="142">
        <v>139521</v>
      </c>
      <c r="C5" s="140">
        <v>2046857</v>
      </c>
      <c r="D5" s="141">
        <v>6.8163530720514426E-2</v>
      </c>
    </row>
    <row r="6" spans="1:4" ht="17">
      <c r="A6" s="136" t="s">
        <v>20</v>
      </c>
      <c r="B6" s="142">
        <v>83794</v>
      </c>
      <c r="C6" s="140">
        <v>2041779</v>
      </c>
      <c r="D6" s="141">
        <v>4.1039701162564605E-2</v>
      </c>
    </row>
    <row r="7" spans="1:4" ht="17">
      <c r="A7" s="136" t="s">
        <v>19</v>
      </c>
      <c r="B7" s="142">
        <v>72289</v>
      </c>
      <c r="C7" s="140">
        <v>2001529</v>
      </c>
      <c r="D7" s="141">
        <v>3.6116888638635762E-2</v>
      </c>
    </row>
    <row r="8" spans="1:4" ht="17">
      <c r="A8" s="136" t="s">
        <v>34</v>
      </c>
      <c r="B8" s="143">
        <v>9465</v>
      </c>
      <c r="C8" s="140">
        <v>1887316</v>
      </c>
      <c r="D8" s="141">
        <v>5.0150584215891778E-3</v>
      </c>
    </row>
    <row r="25" spans="1:4">
      <c r="A25" t="s">
        <v>77</v>
      </c>
    </row>
    <row r="26" spans="1:4">
      <c r="A26" t="s">
        <v>18</v>
      </c>
      <c r="B26" t="s">
        <v>42</v>
      </c>
      <c r="C26" t="s">
        <v>76</v>
      </c>
      <c r="D26" t="s">
        <v>70</v>
      </c>
    </row>
    <row r="27" spans="1:4">
      <c r="A27" t="s">
        <v>35</v>
      </c>
      <c r="B27" s="144">
        <v>52012</v>
      </c>
      <c r="C27" s="144">
        <v>35164</v>
      </c>
      <c r="D27" s="144">
        <v>16849</v>
      </c>
    </row>
    <row r="28" spans="1:4">
      <c r="A28" t="s">
        <v>30</v>
      </c>
      <c r="B28" s="145">
        <v>122860</v>
      </c>
      <c r="C28" s="145">
        <v>81884</v>
      </c>
      <c r="D28" s="145">
        <v>40976</v>
      </c>
    </row>
    <row r="29" spans="1:4">
      <c r="A29" t="s">
        <v>29</v>
      </c>
      <c r="B29" s="145">
        <v>139521</v>
      </c>
      <c r="C29" s="145">
        <v>94651</v>
      </c>
      <c r="D29" s="145">
        <v>44870</v>
      </c>
    </row>
    <row r="30" spans="1:4">
      <c r="A30" t="s">
        <v>20</v>
      </c>
      <c r="B30" s="145">
        <v>83794</v>
      </c>
      <c r="C30" s="145">
        <v>56618</v>
      </c>
      <c r="D30" s="145">
        <v>27176</v>
      </c>
    </row>
    <row r="31" spans="1:4">
      <c r="A31" t="s">
        <v>19</v>
      </c>
      <c r="B31" s="145">
        <v>72289</v>
      </c>
      <c r="C31" s="145">
        <v>49295</v>
      </c>
      <c r="D31" s="145">
        <v>22994</v>
      </c>
    </row>
    <row r="32" spans="1:4">
      <c r="A32" t="s">
        <v>34</v>
      </c>
      <c r="B32">
        <v>9465</v>
      </c>
      <c r="C32">
        <v>6819</v>
      </c>
      <c r="D32">
        <v>2646</v>
      </c>
    </row>
    <row r="36" spans="1:4">
      <c r="A36" t="s">
        <v>77</v>
      </c>
    </row>
    <row r="37" spans="1:4">
      <c r="A37" t="s">
        <v>18</v>
      </c>
      <c r="B37" t="s">
        <v>42</v>
      </c>
      <c r="C37" t="s">
        <v>76</v>
      </c>
      <c r="D37" t="s">
        <v>70</v>
      </c>
    </row>
    <row r="38" spans="1:4">
      <c r="A38" t="s">
        <v>35</v>
      </c>
      <c r="B38" s="144">
        <v>52012</v>
      </c>
      <c r="C38" s="144">
        <v>35164</v>
      </c>
      <c r="D38" s="144">
        <v>16849</v>
      </c>
    </row>
    <row r="39" spans="1:4">
      <c r="A39" t="s">
        <v>30</v>
      </c>
      <c r="B39" s="145">
        <v>122860</v>
      </c>
      <c r="C39" s="145">
        <v>81884</v>
      </c>
      <c r="D39" s="145">
        <v>40976</v>
      </c>
    </row>
    <row r="40" spans="1:4">
      <c r="A40" t="s">
        <v>29</v>
      </c>
      <c r="B40" s="145">
        <v>139521</v>
      </c>
      <c r="C40" s="145">
        <v>94651</v>
      </c>
      <c r="D40" s="145">
        <v>44870</v>
      </c>
    </row>
    <row r="41" spans="1:4">
      <c r="A41" t="s">
        <v>20</v>
      </c>
      <c r="B41" s="145">
        <v>83794</v>
      </c>
      <c r="C41" s="145">
        <v>56618</v>
      </c>
      <c r="D41" s="145">
        <v>27176</v>
      </c>
    </row>
    <row r="42" spans="1:4">
      <c r="A42" t="s">
        <v>19</v>
      </c>
      <c r="B42" s="145">
        <v>72289</v>
      </c>
      <c r="C42" s="145">
        <v>49295</v>
      </c>
      <c r="D42" s="145">
        <v>22994</v>
      </c>
    </row>
    <row r="43" spans="1:4">
      <c r="A43" t="s">
        <v>34</v>
      </c>
      <c r="B43">
        <v>9465</v>
      </c>
      <c r="C43">
        <v>6819</v>
      </c>
      <c r="D43">
        <v>2646</v>
      </c>
    </row>
    <row r="47" spans="1:4">
      <c r="A47" t="s">
        <v>78</v>
      </c>
    </row>
    <row r="48" spans="1:4">
      <c r="A48" t="s">
        <v>18</v>
      </c>
      <c r="B48" t="s">
        <v>42</v>
      </c>
      <c r="C48" t="s">
        <v>76</v>
      </c>
      <c r="D48" t="s">
        <v>70</v>
      </c>
    </row>
    <row r="49" spans="1:4">
      <c r="A49" t="s">
        <v>35</v>
      </c>
      <c r="B49" s="56">
        <v>14435</v>
      </c>
      <c r="C49" s="145">
        <v>10724</v>
      </c>
      <c r="D49" s="145">
        <v>3711</v>
      </c>
    </row>
    <row r="50" spans="1:4">
      <c r="A50" t="s">
        <v>30</v>
      </c>
      <c r="B50" s="145">
        <v>28222</v>
      </c>
      <c r="C50" s="145">
        <v>21803</v>
      </c>
      <c r="D50" s="145">
        <v>6419</v>
      </c>
    </row>
    <row r="51" spans="1:4">
      <c r="A51" t="s">
        <v>29</v>
      </c>
      <c r="B51" s="146">
        <v>34616</v>
      </c>
      <c r="C51" s="146">
        <v>26930</v>
      </c>
      <c r="D51" s="146">
        <v>7686</v>
      </c>
    </row>
    <row r="52" spans="1:4">
      <c r="A52" t="s">
        <v>20</v>
      </c>
      <c r="B52" s="145">
        <v>23165</v>
      </c>
      <c r="C52" s="145">
        <v>17840</v>
      </c>
      <c r="D52" s="145">
        <v>5325</v>
      </c>
    </row>
    <row r="53" spans="1:4">
      <c r="A53" t="s">
        <v>19</v>
      </c>
      <c r="B53">
        <v>21465</v>
      </c>
      <c r="C53">
        <v>16411</v>
      </c>
      <c r="D53">
        <v>5054</v>
      </c>
    </row>
    <row r="54" spans="1:4">
      <c r="A54" t="s">
        <v>34</v>
      </c>
      <c r="B54" s="106">
        <v>3331</v>
      </c>
      <c r="C54" s="106">
        <v>2689</v>
      </c>
      <c r="D54" s="106">
        <v>642</v>
      </c>
    </row>
    <row r="57" spans="1:4">
      <c r="A57" t="s">
        <v>79</v>
      </c>
    </row>
    <row r="58" spans="1:4">
      <c r="A58" t="s">
        <v>18</v>
      </c>
      <c r="B58" t="s">
        <v>42</v>
      </c>
      <c r="C58" t="s">
        <v>76</v>
      </c>
      <c r="D58" t="s">
        <v>70</v>
      </c>
    </row>
    <row r="59" spans="1:4">
      <c r="A59" t="s">
        <v>35</v>
      </c>
      <c r="B59" s="147">
        <v>37577</v>
      </c>
      <c r="C59" s="147">
        <v>24440</v>
      </c>
      <c r="D59" s="147">
        <v>13138</v>
      </c>
    </row>
    <row r="60" spans="1:4">
      <c r="A60" t="s">
        <v>30</v>
      </c>
      <c r="B60" s="145">
        <v>94638</v>
      </c>
      <c r="C60" s="145">
        <v>60081</v>
      </c>
      <c r="D60" s="145">
        <v>34557</v>
      </c>
    </row>
    <row r="61" spans="1:4">
      <c r="A61" t="s">
        <v>29</v>
      </c>
      <c r="B61" s="148">
        <v>104735</v>
      </c>
      <c r="C61" s="148">
        <v>67591</v>
      </c>
      <c r="D61" s="148">
        <v>37144</v>
      </c>
    </row>
    <row r="62" spans="1:4">
      <c r="A62" t="s">
        <v>20</v>
      </c>
      <c r="B62" s="145">
        <v>60821</v>
      </c>
      <c r="C62" s="145">
        <v>38937</v>
      </c>
      <c r="D62" s="145">
        <v>21884</v>
      </c>
    </row>
    <row r="63" spans="1:4">
      <c r="A63" t="s">
        <v>19</v>
      </c>
      <c r="B63">
        <v>50824</v>
      </c>
      <c r="C63">
        <v>32884</v>
      </c>
      <c r="D63">
        <v>17940</v>
      </c>
    </row>
    <row r="64" spans="1:4">
      <c r="A64" t="s">
        <v>34</v>
      </c>
      <c r="B64" s="106">
        <v>6134</v>
      </c>
      <c r="C64" s="106">
        <v>4130</v>
      </c>
      <c r="D64" s="106">
        <v>2004</v>
      </c>
    </row>
    <row r="67" spans="1:18">
      <c r="A67" t="s">
        <v>80</v>
      </c>
    </row>
    <row r="68" spans="1:18" ht="17" thickBot="1">
      <c r="A68" t="s">
        <v>18</v>
      </c>
      <c r="B68" t="s">
        <v>42</v>
      </c>
      <c r="C68" t="s">
        <v>76</v>
      </c>
      <c r="D68" t="s">
        <v>70</v>
      </c>
      <c r="E68" t="s">
        <v>42</v>
      </c>
      <c r="F68" t="s">
        <v>69</v>
      </c>
      <c r="G68" t="s">
        <v>70</v>
      </c>
      <c r="P68" s="132">
        <v>0.998</v>
      </c>
      <c r="Q68" s="132">
        <v>0.67372913942936241</v>
      </c>
      <c r="R68" s="132">
        <v>0.32394447435207258</v>
      </c>
    </row>
    <row r="69" spans="1:18" ht="18" thickTop="1" thickBot="1">
      <c r="A69" t="s">
        <v>35</v>
      </c>
      <c r="B69" s="132">
        <v>0.998</v>
      </c>
      <c r="C69" s="132">
        <v>0.67372913942936241</v>
      </c>
      <c r="D69" s="132">
        <v>0.32394447435207258</v>
      </c>
      <c r="E69" s="114">
        <v>52012</v>
      </c>
      <c r="F69">
        <v>35042</v>
      </c>
      <c r="G69" s="53">
        <v>16849</v>
      </c>
      <c r="P69" s="132">
        <v>0.99299999999999999</v>
      </c>
      <c r="Q69" s="132">
        <v>0.66159042812957836</v>
      </c>
      <c r="R69" s="132">
        <v>0.33190623473872699</v>
      </c>
    </row>
    <row r="70" spans="1:18" ht="17" thickTop="1">
      <c r="A70" t="s">
        <v>30</v>
      </c>
      <c r="B70" s="132">
        <v>0.99299999999999999</v>
      </c>
      <c r="C70" s="132">
        <v>0.66159042812957836</v>
      </c>
      <c r="D70" s="132">
        <v>0.33190623473872699</v>
      </c>
      <c r="E70" s="29">
        <v>122860</v>
      </c>
      <c r="F70" s="33">
        <v>81283</v>
      </c>
      <c r="G70" s="33">
        <v>40778</v>
      </c>
      <c r="P70" s="132">
        <v>0.98199999999999998</v>
      </c>
      <c r="Q70" s="132">
        <v>0.66562022921280672</v>
      </c>
      <c r="R70" s="132">
        <v>0.3168770292644118</v>
      </c>
    </row>
    <row r="71" spans="1:18">
      <c r="A71" t="s">
        <v>29</v>
      </c>
      <c r="B71" s="132">
        <v>0.98199999999999998</v>
      </c>
      <c r="C71" s="132">
        <v>0.66562022921280672</v>
      </c>
      <c r="D71" s="132">
        <v>0.3168770292644118</v>
      </c>
      <c r="E71" s="29">
        <v>139521</v>
      </c>
      <c r="F71" s="33">
        <v>92868</v>
      </c>
      <c r="G71" s="33">
        <v>44211</v>
      </c>
      <c r="P71" s="132">
        <v>0.97899999999999998</v>
      </c>
      <c r="Q71" s="132">
        <v>0.66048881781511803</v>
      </c>
      <c r="R71" s="132">
        <v>0.31891304866696901</v>
      </c>
    </row>
    <row r="72" spans="1:18">
      <c r="A72" t="s">
        <v>20</v>
      </c>
      <c r="B72" s="132">
        <v>0.97899999999999998</v>
      </c>
      <c r="C72" s="132">
        <v>0.66048881781511803</v>
      </c>
      <c r="D72" s="132">
        <v>0.31891304866696901</v>
      </c>
      <c r="E72" s="18">
        <v>83794</v>
      </c>
      <c r="F72" s="26">
        <v>55345</v>
      </c>
      <c r="G72" s="97">
        <v>26723</v>
      </c>
      <c r="P72" s="132">
        <v>0.97099999999999997</v>
      </c>
      <c r="Q72" s="132">
        <v>0.66051543111676747</v>
      </c>
      <c r="R72" s="132">
        <v>0.31073883993415319</v>
      </c>
    </row>
    <row r="73" spans="1:18">
      <c r="A73" t="s">
        <v>19</v>
      </c>
      <c r="B73" s="132">
        <v>0.97099999999999997</v>
      </c>
      <c r="C73" s="132">
        <v>0.66051543111676747</v>
      </c>
      <c r="D73" s="132">
        <v>0.31073883993415319</v>
      </c>
      <c r="E73" s="98">
        <v>72289</v>
      </c>
      <c r="F73" s="26">
        <v>47748</v>
      </c>
      <c r="G73" s="97">
        <v>22463</v>
      </c>
      <c r="P73" s="132">
        <v>0.97399999999999998</v>
      </c>
      <c r="Q73" s="132">
        <v>0.69952456418383513</v>
      </c>
      <c r="R73" s="132">
        <v>0.27416798732171155</v>
      </c>
    </row>
    <row r="74" spans="1:18">
      <c r="A74" t="s">
        <v>34</v>
      </c>
      <c r="B74" s="132">
        <v>0.97399999999999998</v>
      </c>
      <c r="C74" s="132">
        <v>0.69952456418383513</v>
      </c>
      <c r="D74" s="132">
        <v>0.27416798732171155</v>
      </c>
      <c r="E74">
        <v>9465</v>
      </c>
      <c r="F74">
        <v>6621</v>
      </c>
      <c r="G74">
        <v>2595</v>
      </c>
    </row>
    <row r="76" spans="1:18">
      <c r="A76" t="s">
        <v>81</v>
      </c>
    </row>
    <row r="77" spans="1:18" ht="17" thickBot="1">
      <c r="A77" t="s">
        <v>18</v>
      </c>
      <c r="B77" t="s">
        <v>42</v>
      </c>
      <c r="C77" t="s">
        <v>76</v>
      </c>
      <c r="D77" t="s">
        <v>70</v>
      </c>
      <c r="E77" t="s">
        <v>42</v>
      </c>
      <c r="F77" t="s">
        <v>69</v>
      </c>
      <c r="G77" t="s">
        <v>70</v>
      </c>
    </row>
    <row r="78" spans="1:18" ht="18" thickTop="1" thickBot="1">
      <c r="A78" t="s">
        <v>35</v>
      </c>
      <c r="B78" s="132">
        <f>H78/E78</f>
        <v>0.27518649542413287</v>
      </c>
      <c r="C78" s="132">
        <f>F78/E78</f>
        <v>0.20383757594401292</v>
      </c>
      <c r="D78" s="132">
        <f>G78/E78</f>
        <v>7.1348919480119968E-2</v>
      </c>
      <c r="E78" s="114">
        <v>52012</v>
      </c>
      <c r="F78" s="54">
        <v>10602</v>
      </c>
      <c r="G78" s="54">
        <v>3711</v>
      </c>
      <c r="H78" s="113">
        <v>14313</v>
      </c>
    </row>
    <row r="79" spans="1:18" ht="17" thickTop="1">
      <c r="A79" t="s">
        <v>30</v>
      </c>
      <c r="B79" s="132">
        <f t="shared" ref="B79:B83" si="0">H79/E79</f>
        <v>0.22320527429594661</v>
      </c>
      <c r="C79" s="132">
        <f t="shared" ref="C79:C83" si="1">F79/E79</f>
        <v>0.1725704053394107</v>
      </c>
      <c r="D79" s="132">
        <f t="shared" ref="D79:D83" si="2">G79/E79</f>
        <v>5.0634868956535892E-2</v>
      </c>
      <c r="E79" s="29">
        <v>122860</v>
      </c>
      <c r="F79" s="30">
        <v>21202</v>
      </c>
      <c r="G79" s="30">
        <v>6221</v>
      </c>
      <c r="H79" s="30">
        <v>27423</v>
      </c>
    </row>
    <row r="80" spans="1:18">
      <c r="A80" t="s">
        <v>29</v>
      </c>
      <c r="B80" s="132">
        <f t="shared" si="0"/>
        <v>0.2306032783595301</v>
      </c>
      <c r="C80" s="132">
        <f t="shared" si="1"/>
        <v>0.18023810035765225</v>
      </c>
      <c r="D80" s="132">
        <f t="shared" si="2"/>
        <v>5.0365178001877856E-2</v>
      </c>
      <c r="E80" s="29">
        <v>139521</v>
      </c>
      <c r="F80" s="41">
        <v>25147</v>
      </c>
      <c r="G80" s="41">
        <v>7027</v>
      </c>
      <c r="H80" s="41">
        <v>32174</v>
      </c>
    </row>
    <row r="81" spans="1:8">
      <c r="A81" t="s">
        <v>20</v>
      </c>
      <c r="B81" s="132">
        <f t="shared" si="0"/>
        <v>0.25579397092870609</v>
      </c>
      <c r="C81" s="132">
        <f t="shared" si="1"/>
        <v>0.19765138315392511</v>
      </c>
      <c r="D81" s="132">
        <f t="shared" si="2"/>
        <v>5.8142587774781013E-2</v>
      </c>
      <c r="E81" s="18">
        <v>83794</v>
      </c>
      <c r="F81" s="19">
        <v>16562</v>
      </c>
      <c r="G81" s="19">
        <v>4872</v>
      </c>
      <c r="H81" s="19">
        <v>21434</v>
      </c>
    </row>
    <row r="82" spans="1:8">
      <c r="A82" t="s">
        <v>19</v>
      </c>
      <c r="B82" s="132">
        <f t="shared" si="0"/>
        <v>0.26818741440606453</v>
      </c>
      <c r="C82" s="132">
        <f t="shared" si="1"/>
        <v>0.20561911217474305</v>
      </c>
      <c r="D82" s="132">
        <f t="shared" si="2"/>
        <v>6.2568302231321496E-2</v>
      </c>
      <c r="E82" s="98">
        <v>72289</v>
      </c>
      <c r="F82" s="19">
        <v>14864</v>
      </c>
      <c r="G82" s="19">
        <v>4523</v>
      </c>
      <c r="H82" s="94">
        <v>19387</v>
      </c>
    </row>
    <row r="83" spans="1:8">
      <c r="A83" t="s">
        <v>34</v>
      </c>
      <c r="B83" s="132">
        <f t="shared" si="0"/>
        <v>0.32562070787110409</v>
      </c>
      <c r="C83" s="132">
        <f t="shared" si="1"/>
        <v>0.26318013734812468</v>
      </c>
      <c r="D83" s="132">
        <f t="shared" si="2"/>
        <v>6.2440570522979397E-2</v>
      </c>
      <c r="E83">
        <v>9465</v>
      </c>
      <c r="F83">
        <v>2491</v>
      </c>
      <c r="G83">
        <v>591</v>
      </c>
      <c r="H83">
        <v>3082</v>
      </c>
    </row>
    <row r="85" spans="1:8">
      <c r="A85">
        <v>504</v>
      </c>
    </row>
    <row r="86" spans="1:8" ht="17" thickBot="1">
      <c r="A86" t="s">
        <v>18</v>
      </c>
      <c r="B86" t="s">
        <v>42</v>
      </c>
      <c r="C86" t="s">
        <v>76</v>
      </c>
      <c r="D86" t="s">
        <v>70</v>
      </c>
      <c r="E86" t="s">
        <v>84</v>
      </c>
      <c r="F86" t="s">
        <v>85</v>
      </c>
      <c r="G86" t="s">
        <v>69</v>
      </c>
      <c r="H86" t="s">
        <v>70</v>
      </c>
    </row>
    <row r="87" spans="1:8" ht="18" thickTop="1" thickBot="1">
      <c r="A87" t="s">
        <v>35</v>
      </c>
      <c r="B87" s="132">
        <f>F87/E87</f>
        <v>2.345612550949781E-3</v>
      </c>
      <c r="C87" s="132">
        <f t="shared" ref="C87:C92" si="3">G87/E87</f>
        <v>2.345612550949781E-3</v>
      </c>
      <c r="D87" s="132"/>
      <c r="E87" s="114">
        <v>52012</v>
      </c>
      <c r="F87" s="114">
        <v>122</v>
      </c>
      <c r="G87" s="53">
        <v>122</v>
      </c>
      <c r="H87" t="s">
        <v>37</v>
      </c>
    </row>
    <row r="88" spans="1:8" ht="17" thickTop="1">
      <c r="A88" t="s">
        <v>30</v>
      </c>
      <c r="B88" s="132">
        <f t="shared" ref="B88:B92" si="4">F88/E88</f>
        <v>6.5033371316946115E-3</v>
      </c>
      <c r="C88" s="132">
        <f t="shared" si="3"/>
        <v>4.8917467035650333E-3</v>
      </c>
      <c r="D88" s="132">
        <f>H88/E88</f>
        <v>1.6115904281295784E-3</v>
      </c>
      <c r="E88" s="29">
        <v>122860</v>
      </c>
      <c r="F88" s="30">
        <v>799</v>
      </c>
      <c r="G88" s="30">
        <v>601</v>
      </c>
      <c r="H88" s="30">
        <v>198</v>
      </c>
    </row>
    <row r="89" spans="1:8">
      <c r="A89" t="s">
        <v>29</v>
      </c>
      <c r="B89" s="132">
        <f t="shared" si="4"/>
        <v>1.7502741522781518E-2</v>
      </c>
      <c r="C89" s="132">
        <f t="shared" si="3"/>
        <v>1.2779438220769634E-2</v>
      </c>
      <c r="D89" s="132">
        <f>H89/E89</f>
        <v>4.7233033020118833E-3</v>
      </c>
      <c r="E89" s="29">
        <v>139521</v>
      </c>
      <c r="F89" s="30">
        <v>2442</v>
      </c>
      <c r="G89" s="30">
        <v>1783</v>
      </c>
      <c r="H89" s="30">
        <v>659</v>
      </c>
    </row>
    <row r="90" spans="1:8">
      <c r="A90" t="s">
        <v>20</v>
      </c>
      <c r="B90" s="132">
        <f t="shared" si="4"/>
        <v>2.0598133517912978E-2</v>
      </c>
      <c r="C90" s="132">
        <f t="shared" si="3"/>
        <v>1.5192018521612526E-2</v>
      </c>
      <c r="D90" s="132">
        <f>H90/E90</f>
        <v>5.4061149963004511E-3</v>
      </c>
      <c r="E90" s="18">
        <v>83794</v>
      </c>
      <c r="F90" s="19">
        <v>1726</v>
      </c>
      <c r="G90" s="19">
        <v>1273</v>
      </c>
      <c r="H90" s="19">
        <v>453</v>
      </c>
    </row>
    <row r="91" spans="1:8">
      <c r="A91" t="s">
        <v>19</v>
      </c>
      <c r="B91" s="132">
        <f t="shared" si="4"/>
        <v>2.874572894907939E-2</v>
      </c>
      <c r="C91" s="132">
        <f t="shared" si="3"/>
        <v>2.1400213033794906E-2</v>
      </c>
      <c r="D91" s="132">
        <f>H91/E91</f>
        <v>7.3455159152844831E-3</v>
      </c>
      <c r="E91" s="98">
        <v>72289</v>
      </c>
      <c r="F91" s="94">
        <v>2078</v>
      </c>
      <c r="G91" s="19">
        <v>1547</v>
      </c>
      <c r="H91" s="19">
        <v>531</v>
      </c>
    </row>
    <row r="92" spans="1:8">
      <c r="A92" t="s">
        <v>34</v>
      </c>
      <c r="B92" s="132">
        <f t="shared" si="4"/>
        <v>2.630744849445325E-2</v>
      </c>
      <c r="C92" s="132">
        <f t="shared" si="3"/>
        <v>2.0919175911251982E-2</v>
      </c>
      <c r="D92" s="132">
        <f>H92/E92</f>
        <v>5.388272583201268E-3</v>
      </c>
      <c r="E92">
        <v>9465</v>
      </c>
      <c r="F92" s="50">
        <v>249</v>
      </c>
      <c r="G92" s="50">
        <v>198</v>
      </c>
      <c r="H92" s="50">
        <v>51</v>
      </c>
    </row>
    <row r="96" spans="1:8" ht="19">
      <c r="A96" s="149" t="s">
        <v>82</v>
      </c>
    </row>
    <row r="97" spans="1:8" ht="17" thickBot="1">
      <c r="A97" t="s">
        <v>18</v>
      </c>
      <c r="B97" t="s">
        <v>42</v>
      </c>
      <c r="C97" t="s">
        <v>76</v>
      </c>
      <c r="D97" t="s">
        <v>70</v>
      </c>
      <c r="E97" t="s">
        <v>84</v>
      </c>
      <c r="F97" t="s">
        <v>83</v>
      </c>
      <c r="G97" t="s">
        <v>43</v>
      </c>
      <c r="H97" t="s">
        <v>44</v>
      </c>
    </row>
    <row r="98" spans="1:8" ht="18" thickTop="1" thickBot="1">
      <c r="A98" t="s">
        <v>35</v>
      </c>
      <c r="B98" s="132">
        <f>F98/E98</f>
        <v>2.7128354995001155E-2</v>
      </c>
      <c r="C98" s="132">
        <f>G98/E98</f>
        <v>1.8726447742828577E-2</v>
      </c>
      <c r="D98" s="132">
        <f>H98/E98</f>
        <v>8.4019072521725763E-3</v>
      </c>
      <c r="E98" s="114">
        <v>52012</v>
      </c>
      <c r="F98" s="114">
        <v>1411</v>
      </c>
      <c r="G98" s="53">
        <v>974</v>
      </c>
      <c r="H98" s="53">
        <v>437</v>
      </c>
    </row>
    <row r="99" spans="1:8" ht="17" thickTop="1">
      <c r="A99" t="s">
        <v>30</v>
      </c>
      <c r="B99" s="132">
        <f t="shared" ref="B99:B103" si="5">F99/E99</f>
        <v>4.2308318411199738E-2</v>
      </c>
      <c r="C99" s="132">
        <f t="shared" ref="C99:C103" si="6">G99/E99</f>
        <v>3.0376037766563568E-2</v>
      </c>
      <c r="D99" s="132">
        <f t="shared" ref="D99:D103" si="7">H99/E99</f>
        <v>1.1932280644636171E-2</v>
      </c>
      <c r="E99" s="29">
        <v>122860</v>
      </c>
      <c r="F99" s="30">
        <v>5198</v>
      </c>
      <c r="G99" s="30">
        <v>3732</v>
      </c>
      <c r="H99" s="30">
        <v>1466</v>
      </c>
    </row>
    <row r="100" spans="1:8">
      <c r="A100" t="s">
        <v>29</v>
      </c>
      <c r="B100" s="132">
        <f t="shared" si="5"/>
        <v>4.0961575676779841E-2</v>
      </c>
      <c r="C100" s="132">
        <f t="shared" si="6"/>
        <v>3.1586642870965659E-2</v>
      </c>
      <c r="D100" s="132">
        <f t="shared" si="7"/>
        <v>9.3749328058141783E-3</v>
      </c>
      <c r="E100" s="29">
        <v>139521</v>
      </c>
      <c r="F100" s="30">
        <v>5715</v>
      </c>
      <c r="G100" s="30">
        <v>4407</v>
      </c>
      <c r="H100" s="30">
        <v>1308</v>
      </c>
    </row>
    <row r="101" spans="1:8">
      <c r="A101" t="s">
        <v>20</v>
      </c>
      <c r="B101" s="132">
        <f t="shared" si="5"/>
        <v>4.8690837052772273E-2</v>
      </c>
      <c r="C101" s="132">
        <f t="shared" si="6"/>
        <v>3.7472850084731606E-2</v>
      </c>
      <c r="D101" s="132">
        <f t="shared" si="7"/>
        <v>1.1217986968040671E-2</v>
      </c>
      <c r="E101" s="18">
        <v>83794</v>
      </c>
      <c r="F101" s="19">
        <v>4080</v>
      </c>
      <c r="G101" s="19">
        <v>3140</v>
      </c>
      <c r="H101" s="19">
        <v>940</v>
      </c>
    </row>
    <row r="102" spans="1:8">
      <c r="A102" t="s">
        <v>19</v>
      </c>
      <c r="B102" s="132">
        <f t="shared" si="5"/>
        <v>5.2303946658551093E-2</v>
      </c>
      <c r="C102" s="132">
        <f t="shared" si="6"/>
        <v>3.9065417975072278E-2</v>
      </c>
      <c r="D102" s="132">
        <f t="shared" si="7"/>
        <v>1.3238528683478815E-2</v>
      </c>
      <c r="E102" s="98">
        <v>72289</v>
      </c>
      <c r="F102" s="94">
        <v>3781</v>
      </c>
      <c r="G102" s="19">
        <v>2824</v>
      </c>
      <c r="H102" s="19">
        <v>957</v>
      </c>
    </row>
    <row r="103" spans="1:8">
      <c r="A103" t="s">
        <v>34</v>
      </c>
      <c r="B103" s="132">
        <f t="shared" si="5"/>
        <v>4.712097200211305E-2</v>
      </c>
      <c r="C103" s="132">
        <f t="shared" si="6"/>
        <v>3.7189646064447968E-2</v>
      </c>
      <c r="D103" s="132">
        <f t="shared" si="7"/>
        <v>9.9313259376650823E-3</v>
      </c>
      <c r="E103">
        <v>9465</v>
      </c>
      <c r="F103">
        <v>446</v>
      </c>
      <c r="G103">
        <v>352</v>
      </c>
      <c r="H103">
        <v>94</v>
      </c>
    </row>
    <row r="105" spans="1:8" ht="17" thickBot="1"/>
    <row r="106" spans="1:8">
      <c r="B106" s="181" t="s">
        <v>5</v>
      </c>
      <c r="C106" s="182"/>
      <c r="D106" s="134"/>
    </row>
    <row r="107" spans="1:8">
      <c r="B107" s="183"/>
      <c r="C107" s="184"/>
      <c r="D107" s="134"/>
    </row>
    <row r="108" spans="1:8" ht="17" thickBot="1">
      <c r="A108" t="s">
        <v>18</v>
      </c>
      <c r="B108" s="7" t="s">
        <v>15</v>
      </c>
      <c r="C108" t="s">
        <v>63</v>
      </c>
      <c r="D108" t="s">
        <v>64</v>
      </c>
    </row>
    <row r="109" spans="1:8" ht="18" thickTop="1" thickBot="1">
      <c r="A109" t="s">
        <v>35</v>
      </c>
      <c r="B109" s="114">
        <v>1411</v>
      </c>
      <c r="C109" s="135">
        <v>2.7E-2</v>
      </c>
      <c r="D109" s="132">
        <v>7.5999999999999998E-2</v>
      </c>
    </row>
    <row r="110" spans="1:8" ht="17" thickTop="1">
      <c r="A110" t="s">
        <v>30</v>
      </c>
      <c r="B110" s="30">
        <v>5198</v>
      </c>
      <c r="C110" s="135">
        <v>4.2000000000000003E-2</v>
      </c>
      <c r="D110" s="132">
        <v>9.4E-2</v>
      </c>
    </row>
    <row r="111" spans="1:8">
      <c r="A111" t="s">
        <v>29</v>
      </c>
      <c r="B111" s="30">
        <v>5715</v>
      </c>
      <c r="C111" s="135">
        <v>4.1000000000000002E-2</v>
      </c>
      <c r="D111" s="132">
        <v>9.5000000000000001E-2</v>
      </c>
    </row>
    <row r="112" spans="1:8">
      <c r="A112" t="s">
        <v>20</v>
      </c>
      <c r="B112" s="19">
        <v>4080</v>
      </c>
      <c r="C112" s="132">
        <v>4.9000000000000002E-2</v>
      </c>
      <c r="D112" s="132">
        <v>0.105</v>
      </c>
    </row>
    <row r="113" spans="1:4">
      <c r="A113" t="s">
        <v>19</v>
      </c>
      <c r="B113" s="94">
        <v>3781</v>
      </c>
      <c r="C113" s="132">
        <v>5.1999999999999998E-2</v>
      </c>
      <c r="D113" s="132">
        <v>0.11700000000000001</v>
      </c>
    </row>
    <row r="114" spans="1:4">
      <c r="A114" t="s">
        <v>34</v>
      </c>
      <c r="B114">
        <v>446</v>
      </c>
      <c r="C114" s="132">
        <v>4.7E-2</v>
      </c>
      <c r="D114" s="132">
        <v>0.129</v>
      </c>
    </row>
  </sheetData>
  <mergeCells count="1">
    <mergeCell ref="B106:C10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9E156-74BA-1942-AA19-164ECAF3B747}">
  <dimension ref="A2:Y49"/>
  <sheetViews>
    <sheetView zoomScaleNormal="100" workbookViewId="0">
      <selection activeCell="E34" sqref="E34"/>
    </sheetView>
  </sheetViews>
  <sheetFormatPr baseColWidth="10" defaultRowHeight="16"/>
  <sheetData>
    <row r="2" spans="1:25" ht="35" customHeight="1"/>
    <row r="3" spans="1:25" ht="17" thickBot="1"/>
    <row r="4" spans="1:25" s="2" customFormat="1" ht="25.25" customHeight="1">
      <c r="A4" s="12" t="s">
        <v>18</v>
      </c>
      <c r="B4" s="191" t="s">
        <v>0</v>
      </c>
      <c r="C4" s="193" t="s">
        <v>1</v>
      </c>
      <c r="D4" s="195" t="s">
        <v>2</v>
      </c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7"/>
      <c r="R4" s="198" t="s">
        <v>38</v>
      </c>
      <c r="S4" s="199"/>
      <c r="T4" s="181" t="s">
        <v>4</v>
      </c>
      <c r="U4" s="182"/>
      <c r="V4" s="181" t="s">
        <v>5</v>
      </c>
      <c r="W4" s="182"/>
      <c r="X4" s="186" t="s">
        <v>6</v>
      </c>
      <c r="Y4" s="188" t="s">
        <v>7</v>
      </c>
    </row>
    <row r="5" spans="1:25" s="2" customFormat="1" ht="25.25" customHeight="1" thickBot="1">
      <c r="A5" s="1"/>
      <c r="B5" s="192"/>
      <c r="C5" s="194"/>
      <c r="D5" s="180" t="s">
        <v>8</v>
      </c>
      <c r="E5" s="176"/>
      <c r="F5" s="190" t="s">
        <v>9</v>
      </c>
      <c r="G5" s="176"/>
      <c r="H5" s="175" t="s">
        <v>10</v>
      </c>
      <c r="I5" s="176"/>
      <c r="J5" s="175" t="s">
        <v>11</v>
      </c>
      <c r="K5" s="176"/>
      <c r="L5" s="175" t="s">
        <v>12</v>
      </c>
      <c r="M5" s="176"/>
      <c r="N5" s="175" t="s">
        <v>13</v>
      </c>
      <c r="O5" s="176"/>
      <c r="P5" s="175" t="s">
        <v>14</v>
      </c>
      <c r="Q5" s="179"/>
      <c r="R5" s="200"/>
      <c r="S5" s="201"/>
      <c r="T5" s="183"/>
      <c r="U5" s="184"/>
      <c r="V5" s="183"/>
      <c r="W5" s="184"/>
      <c r="X5" s="187"/>
      <c r="Y5" s="189"/>
    </row>
    <row r="6" spans="1:25" s="2" customFormat="1" ht="15" customHeight="1" thickBot="1">
      <c r="A6" s="1"/>
      <c r="B6" s="3"/>
      <c r="C6" s="4"/>
      <c r="D6" s="5" t="s">
        <v>15</v>
      </c>
      <c r="E6" s="6" t="s">
        <v>16</v>
      </c>
      <c r="F6" s="7" t="s">
        <v>15</v>
      </c>
      <c r="G6" s="6" t="s">
        <v>16</v>
      </c>
      <c r="H6" s="7" t="s">
        <v>15</v>
      </c>
      <c r="I6" s="6" t="s">
        <v>16</v>
      </c>
      <c r="J6" s="7" t="s">
        <v>15</v>
      </c>
      <c r="K6" s="6" t="s">
        <v>16</v>
      </c>
      <c r="L6" s="7" t="s">
        <v>15</v>
      </c>
      <c r="M6" s="6" t="s">
        <v>16</v>
      </c>
      <c r="N6" s="7" t="s">
        <v>15</v>
      </c>
      <c r="O6" s="6" t="s">
        <v>16</v>
      </c>
      <c r="P6" s="7" t="s">
        <v>15</v>
      </c>
      <c r="Q6" s="8" t="s">
        <v>16</v>
      </c>
      <c r="R6" s="5" t="s">
        <v>15</v>
      </c>
      <c r="S6" s="9" t="s">
        <v>17</v>
      </c>
      <c r="T6" s="5" t="s">
        <v>15</v>
      </c>
      <c r="U6" s="9" t="s">
        <v>17</v>
      </c>
      <c r="V6" s="7" t="s">
        <v>15</v>
      </c>
      <c r="W6" s="9" t="s">
        <v>17</v>
      </c>
      <c r="X6" s="10"/>
      <c r="Y6" s="11"/>
    </row>
    <row r="7" spans="1:25" ht="18" thickTop="1" thickBot="1">
      <c r="A7" t="s">
        <v>35</v>
      </c>
      <c r="B7" t="s">
        <v>36</v>
      </c>
      <c r="C7" s="114">
        <v>52012</v>
      </c>
      <c r="D7" s="114">
        <v>134</v>
      </c>
      <c r="E7">
        <v>0.3</v>
      </c>
      <c r="F7" s="114">
        <v>443</v>
      </c>
      <c r="G7" s="121">
        <v>0.9</v>
      </c>
      <c r="H7" s="114">
        <v>9764</v>
      </c>
      <c r="I7" s="122">
        <v>18.8</v>
      </c>
      <c r="J7" s="114">
        <v>25507</v>
      </c>
      <c r="K7" s="122">
        <v>49</v>
      </c>
      <c r="L7" s="114">
        <v>19412</v>
      </c>
      <c r="M7" s="15">
        <v>37.299999999999997</v>
      </c>
      <c r="N7" s="13"/>
      <c r="O7" s="15"/>
      <c r="P7" s="14"/>
      <c r="Q7" s="15"/>
      <c r="R7">
        <v>51890</v>
      </c>
      <c r="S7">
        <v>99.8</v>
      </c>
      <c r="T7" s="114">
        <v>122</v>
      </c>
      <c r="U7">
        <v>0.2</v>
      </c>
      <c r="V7" s="114">
        <v>1411</v>
      </c>
      <c r="W7" s="15">
        <v>2.7</v>
      </c>
      <c r="X7" s="16"/>
      <c r="Y7" s="17"/>
    </row>
    <row r="8" spans="1:25" ht="17" thickTop="1">
      <c r="A8" t="s">
        <v>30</v>
      </c>
      <c r="B8" t="s">
        <v>36</v>
      </c>
      <c r="C8" s="29">
        <v>122860</v>
      </c>
      <c r="D8" s="30">
        <v>314</v>
      </c>
      <c r="E8" s="32">
        <v>0.257248424967844</v>
      </c>
      <c r="F8" s="33">
        <v>993</v>
      </c>
      <c r="G8" s="32">
        <v>0.81352766239830898</v>
      </c>
      <c r="H8" s="30">
        <v>24281</v>
      </c>
      <c r="I8" s="32">
        <v>19.8925127600134</v>
      </c>
      <c r="J8" s="33">
        <v>57246</v>
      </c>
      <c r="K8" s="32">
        <v>46.8995010691376</v>
      </c>
      <c r="L8" s="30">
        <v>35786</v>
      </c>
      <c r="M8" s="32">
        <v>29.318127821335199</v>
      </c>
      <c r="N8" s="33">
        <v>70</v>
      </c>
      <c r="O8" s="32">
        <v>5.7348374992831498E-2</v>
      </c>
      <c r="P8" s="34">
        <v>3371</v>
      </c>
      <c r="Q8" s="31">
        <v>2.7617338871547799</v>
      </c>
      <c r="R8" s="33">
        <v>122061</v>
      </c>
      <c r="S8" s="35">
        <v>99.349666286830498</v>
      </c>
      <c r="T8" s="30">
        <v>799</v>
      </c>
      <c r="U8" s="31">
        <v>0.65033371316946098</v>
      </c>
      <c r="V8" s="30">
        <v>5198</v>
      </c>
      <c r="W8" s="31">
        <v>4.2308318411199703</v>
      </c>
      <c r="X8" s="36">
        <v>4221</v>
      </c>
      <c r="Y8" s="37">
        <v>100</v>
      </c>
    </row>
    <row r="9" spans="1:25">
      <c r="A9" t="s">
        <v>29</v>
      </c>
      <c r="B9" t="s">
        <v>36</v>
      </c>
      <c r="C9" s="29">
        <v>139521</v>
      </c>
      <c r="D9" s="30">
        <v>279</v>
      </c>
      <c r="E9" s="32">
        <v>0.2</v>
      </c>
      <c r="F9" s="33">
        <v>797</v>
      </c>
      <c r="G9" s="32">
        <v>0.6</v>
      </c>
      <c r="H9" s="30">
        <v>26887</v>
      </c>
      <c r="I9" s="32">
        <v>19.600000000000001</v>
      </c>
      <c r="J9" s="33">
        <v>76744</v>
      </c>
      <c r="K9" s="32">
        <v>56</v>
      </c>
      <c r="L9" s="30">
        <v>28808</v>
      </c>
      <c r="M9" s="32">
        <v>21</v>
      </c>
      <c r="N9" s="33">
        <v>87</v>
      </c>
      <c r="O9" s="32">
        <v>0.1</v>
      </c>
      <c r="P9" s="34">
        <v>3477</v>
      </c>
      <c r="Q9" s="31">
        <v>2.5</v>
      </c>
      <c r="R9" s="33">
        <v>137079</v>
      </c>
      <c r="S9" s="35">
        <v>98.2</v>
      </c>
      <c r="T9" s="30">
        <v>2442</v>
      </c>
      <c r="U9" s="31">
        <v>1.8</v>
      </c>
      <c r="V9" s="30">
        <v>5715</v>
      </c>
      <c r="W9" s="31">
        <v>4.0999999999999996</v>
      </c>
      <c r="X9" s="39">
        <v>4134</v>
      </c>
      <c r="Y9" s="37">
        <v>100</v>
      </c>
    </row>
    <row r="10" spans="1:25">
      <c r="A10" t="s">
        <v>20</v>
      </c>
      <c r="B10" t="s">
        <v>36</v>
      </c>
      <c r="C10" s="18">
        <v>83794</v>
      </c>
      <c r="D10" s="19">
        <v>197</v>
      </c>
      <c r="E10" s="20">
        <v>0.24</v>
      </c>
      <c r="F10" s="21">
        <v>583</v>
      </c>
      <c r="G10" s="20">
        <v>0.71040000000000003</v>
      </c>
      <c r="H10" s="22">
        <v>15780</v>
      </c>
      <c r="I10" s="20">
        <v>19.228000000000002</v>
      </c>
      <c r="J10" s="21">
        <v>39641</v>
      </c>
      <c r="K10" s="20">
        <v>48.302599999999998</v>
      </c>
      <c r="L10" s="22">
        <v>22544</v>
      </c>
      <c r="M10" s="20">
        <v>27.469899999999999</v>
      </c>
      <c r="N10" s="21">
        <v>59</v>
      </c>
      <c r="O10" s="20">
        <v>7.1900000000000006E-2</v>
      </c>
      <c r="P10" s="23">
        <v>3264</v>
      </c>
      <c r="Q10" s="24">
        <v>3.9771999999999998</v>
      </c>
      <c r="R10" s="26">
        <v>82068</v>
      </c>
      <c r="S10" s="62">
        <v>97.9</v>
      </c>
      <c r="T10" s="19">
        <v>1726</v>
      </c>
      <c r="U10" s="24">
        <v>2.0598100000000001</v>
      </c>
      <c r="V10" s="19">
        <v>4080</v>
      </c>
      <c r="W10" s="25">
        <v>4.8691000000000004</v>
      </c>
      <c r="X10" s="27">
        <v>4081</v>
      </c>
      <c r="Y10" s="28">
        <v>99.706000000000003</v>
      </c>
    </row>
    <row r="11" spans="1:25">
      <c r="A11" t="s">
        <v>19</v>
      </c>
      <c r="B11" t="s">
        <v>36</v>
      </c>
      <c r="C11" s="98">
        <v>72289</v>
      </c>
      <c r="D11" s="94">
        <v>155</v>
      </c>
      <c r="E11" s="99">
        <v>0.2208</v>
      </c>
      <c r="F11" s="100">
        <v>484</v>
      </c>
      <c r="G11" s="99">
        <v>0.68940000000000001</v>
      </c>
      <c r="H11" s="101">
        <v>13371</v>
      </c>
      <c r="I11" s="99">
        <v>19.044</v>
      </c>
      <c r="J11" s="100">
        <v>33374</v>
      </c>
      <c r="K11" s="99">
        <v>47.533900000000003</v>
      </c>
      <c r="L11" s="101">
        <v>19573</v>
      </c>
      <c r="M11" s="99">
        <v>27.877400000000002</v>
      </c>
      <c r="N11" s="100">
        <v>45</v>
      </c>
      <c r="O11" s="99">
        <v>6.4100000000000004E-2</v>
      </c>
      <c r="P11" s="102">
        <v>3209</v>
      </c>
      <c r="Q11" s="103">
        <v>4.5705</v>
      </c>
      <c r="R11" s="98">
        <v>70211</v>
      </c>
      <c r="S11" s="77">
        <v>97.1</v>
      </c>
      <c r="T11" s="94">
        <v>2078</v>
      </c>
      <c r="U11" s="103">
        <v>2.8745699999999998</v>
      </c>
      <c r="V11" s="94">
        <v>3781</v>
      </c>
      <c r="W11" s="104">
        <v>5.2304000000000004</v>
      </c>
      <c r="X11" s="78">
        <v>4145</v>
      </c>
      <c r="Y11" s="79">
        <v>100</v>
      </c>
    </row>
    <row r="12" spans="1:25">
      <c r="A12" t="s">
        <v>34</v>
      </c>
      <c r="B12" t="s">
        <v>36</v>
      </c>
      <c r="C12">
        <v>9465</v>
      </c>
      <c r="D12">
        <v>13</v>
      </c>
      <c r="E12">
        <v>0.1</v>
      </c>
      <c r="F12">
        <v>67</v>
      </c>
      <c r="G12">
        <v>0.7</v>
      </c>
      <c r="H12">
        <v>1185</v>
      </c>
      <c r="I12">
        <v>12.5</v>
      </c>
      <c r="J12">
        <v>1777</v>
      </c>
      <c r="K12">
        <v>18.8</v>
      </c>
      <c r="L12">
        <v>5533</v>
      </c>
      <c r="M12">
        <v>58.5</v>
      </c>
      <c r="N12">
        <v>7</v>
      </c>
      <c r="O12">
        <v>0.1</v>
      </c>
      <c r="P12">
        <v>634</v>
      </c>
      <c r="Q12">
        <v>6.7</v>
      </c>
      <c r="R12">
        <v>9216</v>
      </c>
      <c r="S12">
        <v>97.4</v>
      </c>
      <c r="T12" s="50">
        <v>249</v>
      </c>
      <c r="U12">
        <v>2.6</v>
      </c>
      <c r="V12">
        <v>446</v>
      </c>
      <c r="W12">
        <v>4.7</v>
      </c>
      <c r="X12" s="50">
        <v>3387</v>
      </c>
      <c r="Y12" s="51">
        <v>83.26</v>
      </c>
    </row>
    <row r="13" spans="1:25">
      <c r="R13" s="19"/>
      <c r="S13" s="24"/>
    </row>
    <row r="14" spans="1:25">
      <c r="R14" s="19"/>
      <c r="S14" s="24"/>
    </row>
    <row r="15" spans="1:25">
      <c r="E15" s="15"/>
      <c r="G15" s="15"/>
      <c r="I15" s="15"/>
      <c r="K15" s="15"/>
      <c r="M15" s="51"/>
      <c r="N15" s="50"/>
      <c r="O15" s="51"/>
      <c r="P15" s="50"/>
      <c r="Q15" s="51"/>
      <c r="R15" s="50"/>
      <c r="S15" s="51"/>
    </row>
    <row r="16" spans="1:25" ht="17" thickBot="1">
      <c r="E16" s="15"/>
      <c r="G16" s="15"/>
      <c r="I16" s="15"/>
      <c r="K16" s="15"/>
      <c r="M16" s="15"/>
      <c r="N16" s="50"/>
      <c r="O16" s="51"/>
      <c r="P16" s="50"/>
      <c r="Q16" s="51"/>
      <c r="R16" s="50"/>
      <c r="S16" s="51"/>
    </row>
    <row r="17" spans="1:25" s="2" customFormat="1" ht="25.25" customHeight="1">
      <c r="A17" s="12" t="s">
        <v>18</v>
      </c>
      <c r="B17" s="191" t="s">
        <v>0</v>
      </c>
      <c r="C17" s="193" t="s">
        <v>1</v>
      </c>
      <c r="D17" s="195" t="s">
        <v>2</v>
      </c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  <c r="Q17" s="197"/>
      <c r="R17" s="198" t="s">
        <v>38</v>
      </c>
      <c r="S17" s="199"/>
      <c r="T17" s="181" t="s">
        <v>4</v>
      </c>
      <c r="U17" s="182"/>
      <c r="V17" s="181" t="s">
        <v>5</v>
      </c>
      <c r="W17" s="182"/>
      <c r="X17" s="186" t="s">
        <v>6</v>
      </c>
      <c r="Y17" s="188" t="s">
        <v>7</v>
      </c>
    </row>
    <row r="18" spans="1:25" s="2" customFormat="1" ht="25.25" customHeight="1" thickBot="1">
      <c r="A18" s="1"/>
      <c r="B18" s="192"/>
      <c r="C18" s="194"/>
      <c r="D18" s="180" t="s">
        <v>8</v>
      </c>
      <c r="E18" s="176"/>
      <c r="F18" s="190" t="s">
        <v>9</v>
      </c>
      <c r="G18" s="176"/>
      <c r="H18" s="175" t="s">
        <v>10</v>
      </c>
      <c r="I18" s="176"/>
      <c r="J18" s="175" t="s">
        <v>11</v>
      </c>
      <c r="K18" s="176"/>
      <c r="L18" s="175" t="s">
        <v>12</v>
      </c>
      <c r="M18" s="176"/>
      <c r="N18" s="175" t="s">
        <v>13</v>
      </c>
      <c r="O18" s="176"/>
      <c r="P18" s="175" t="s">
        <v>14</v>
      </c>
      <c r="Q18" s="179"/>
      <c r="R18" s="200"/>
      <c r="S18" s="201"/>
      <c r="T18" s="183"/>
      <c r="U18" s="184"/>
      <c r="V18" s="183"/>
      <c r="W18" s="184"/>
      <c r="X18" s="187"/>
      <c r="Y18" s="189"/>
    </row>
    <row r="19" spans="1:25" s="2" customFormat="1" ht="15" customHeight="1" thickBot="1">
      <c r="A19" s="1"/>
      <c r="B19" s="3"/>
      <c r="C19" s="4"/>
      <c r="D19" s="5" t="s">
        <v>15</v>
      </c>
      <c r="E19" s="6" t="s">
        <v>16</v>
      </c>
      <c r="F19" s="7" t="s">
        <v>15</v>
      </c>
      <c r="G19" s="6" t="s">
        <v>16</v>
      </c>
      <c r="H19" s="7" t="s">
        <v>15</v>
      </c>
      <c r="I19" s="6" t="s">
        <v>16</v>
      </c>
      <c r="J19" s="7" t="s">
        <v>15</v>
      </c>
      <c r="K19" s="6" t="s">
        <v>16</v>
      </c>
      <c r="L19" s="7" t="s">
        <v>15</v>
      </c>
      <c r="M19" s="6" t="s">
        <v>16</v>
      </c>
      <c r="N19" s="7" t="s">
        <v>15</v>
      </c>
      <c r="O19" s="6" t="s">
        <v>16</v>
      </c>
      <c r="P19" s="7" t="s">
        <v>15</v>
      </c>
      <c r="Q19" s="8" t="s">
        <v>16</v>
      </c>
      <c r="R19" s="5" t="s">
        <v>15</v>
      </c>
      <c r="S19" s="9" t="s">
        <v>17</v>
      </c>
      <c r="T19" s="5" t="s">
        <v>15</v>
      </c>
      <c r="U19" s="9" t="s">
        <v>17</v>
      </c>
      <c r="V19" s="7" t="s">
        <v>15</v>
      </c>
      <c r="W19" s="9" t="s">
        <v>17</v>
      </c>
      <c r="X19" s="10"/>
      <c r="Y19" s="11"/>
    </row>
    <row r="20" spans="1:25" ht="18" thickTop="1" thickBot="1">
      <c r="A20" t="s">
        <v>35</v>
      </c>
      <c r="B20" t="s">
        <v>39</v>
      </c>
      <c r="C20" s="113">
        <v>1494036</v>
      </c>
      <c r="D20" s="113">
        <v>42607</v>
      </c>
      <c r="E20">
        <v>2.8</v>
      </c>
      <c r="F20" s="113">
        <v>27471</v>
      </c>
      <c r="G20" s="128">
        <v>1.8</v>
      </c>
      <c r="H20" s="113">
        <v>312679</v>
      </c>
      <c r="I20" s="129">
        <v>20.9</v>
      </c>
      <c r="J20" s="113">
        <v>646519</v>
      </c>
      <c r="K20" s="129">
        <v>43.3</v>
      </c>
      <c r="L20" s="113">
        <v>511746</v>
      </c>
      <c r="M20" s="129">
        <v>34.299999999999997</v>
      </c>
      <c r="R20" s="56">
        <v>1477802</v>
      </c>
      <c r="T20" s="113">
        <v>16234</v>
      </c>
      <c r="V20" s="113">
        <v>104175</v>
      </c>
    </row>
    <row r="21" spans="1:25" ht="17" thickTop="1">
      <c r="A21" t="s">
        <v>30</v>
      </c>
      <c r="B21" t="s">
        <v>39</v>
      </c>
      <c r="C21" s="33">
        <v>3172403</v>
      </c>
      <c r="D21" s="33">
        <v>44549</v>
      </c>
      <c r="E21" s="35">
        <v>1.41817352976194</v>
      </c>
      <c r="F21" s="33">
        <v>34526</v>
      </c>
      <c r="G21" s="35">
        <v>1.0991011984233201</v>
      </c>
      <c r="H21" s="33">
        <v>688774</v>
      </c>
      <c r="I21" s="35">
        <v>21.9264417784518</v>
      </c>
      <c r="J21" s="33">
        <v>1200401</v>
      </c>
      <c r="K21" s="35">
        <v>38.213583319485501</v>
      </c>
      <c r="L21" s="33">
        <v>1084048</v>
      </c>
      <c r="M21" s="35">
        <v>34.509600183873303</v>
      </c>
      <c r="N21" s="33">
        <v>8258</v>
      </c>
      <c r="O21" s="35">
        <v>0.26288529504083302</v>
      </c>
      <c r="P21" s="33">
        <v>80738</v>
      </c>
      <c r="Q21" s="35">
        <v>2.57021469496329</v>
      </c>
      <c r="R21" s="33">
        <v>3141294</v>
      </c>
      <c r="S21" s="35">
        <v>99.019386881174896</v>
      </c>
      <c r="T21" s="33">
        <v>31109</v>
      </c>
      <c r="U21" s="35">
        <v>0.98061311882506697</v>
      </c>
      <c r="V21" s="33">
        <v>199652</v>
      </c>
      <c r="W21" s="35">
        <v>6.29339967210975</v>
      </c>
      <c r="X21" s="95">
        <v>95635</v>
      </c>
      <c r="Y21" s="63">
        <v>99.789825900559407</v>
      </c>
    </row>
    <row r="22" spans="1:25" ht="17" thickBot="1">
      <c r="A22" t="s">
        <v>29</v>
      </c>
      <c r="B22" t="s">
        <v>39</v>
      </c>
      <c r="C22" s="33">
        <v>2635743</v>
      </c>
      <c r="D22" s="33">
        <v>35756</v>
      </c>
      <c r="E22" s="35">
        <v>1.4</v>
      </c>
      <c r="F22" s="33">
        <v>26499</v>
      </c>
      <c r="G22" s="35">
        <v>1</v>
      </c>
      <c r="H22" s="33">
        <v>554498</v>
      </c>
      <c r="I22" s="35">
        <v>21.4</v>
      </c>
      <c r="J22" s="33">
        <v>1042991</v>
      </c>
      <c r="K22" s="35">
        <v>40.299999999999997</v>
      </c>
      <c r="L22" s="33">
        <v>843381</v>
      </c>
      <c r="M22" s="35">
        <v>32.6</v>
      </c>
      <c r="N22" s="33">
        <v>9308</v>
      </c>
      <c r="O22" s="35">
        <v>0.4</v>
      </c>
      <c r="P22" s="33">
        <v>78469</v>
      </c>
      <c r="Q22" s="35">
        <v>3</v>
      </c>
      <c r="R22" s="33">
        <v>2590902</v>
      </c>
      <c r="S22" s="35">
        <v>98.3</v>
      </c>
      <c r="T22" s="33">
        <v>44841</v>
      </c>
      <c r="U22" s="35">
        <v>1.7</v>
      </c>
      <c r="V22" s="33">
        <v>179892</v>
      </c>
      <c r="W22" s="35">
        <v>6.8</v>
      </c>
      <c r="X22" s="71">
        <v>95507</v>
      </c>
      <c r="Y22" s="63">
        <v>99.9</v>
      </c>
    </row>
    <row r="23" spans="1:25" ht="17" thickBot="1">
      <c r="A23" t="s">
        <v>20</v>
      </c>
      <c r="B23" t="s">
        <v>39</v>
      </c>
      <c r="C23" s="18">
        <v>2557072</v>
      </c>
      <c r="D23" s="26">
        <v>35378</v>
      </c>
      <c r="E23" s="20">
        <v>1.4232</v>
      </c>
      <c r="F23" s="21">
        <v>24173</v>
      </c>
      <c r="G23" s="20">
        <v>0.97240000000000004</v>
      </c>
      <c r="H23" s="26">
        <v>529104</v>
      </c>
      <c r="I23" s="20">
        <v>21.284400000000002</v>
      </c>
      <c r="J23" s="21">
        <v>1008653</v>
      </c>
      <c r="K23" s="20">
        <v>40.575299999999999</v>
      </c>
      <c r="L23" s="26">
        <v>788542</v>
      </c>
      <c r="M23" s="20">
        <v>31.720800000000001</v>
      </c>
      <c r="N23" s="21">
        <v>8472</v>
      </c>
      <c r="O23" s="20">
        <v>0.34079999999999999</v>
      </c>
      <c r="P23" s="57">
        <v>91559</v>
      </c>
      <c r="Q23" s="24">
        <v>3.6831999999999998</v>
      </c>
      <c r="R23" s="58">
        <v>2485881</v>
      </c>
      <c r="S23" s="24"/>
      <c r="T23" s="26">
        <v>71191</v>
      </c>
      <c r="U23" s="107">
        <v>2.8</v>
      </c>
      <c r="V23" s="58">
        <v>175931</v>
      </c>
      <c r="W23" s="24">
        <v>6.8802000000000003</v>
      </c>
      <c r="X23" s="27">
        <v>96360</v>
      </c>
      <c r="Y23" s="28">
        <v>99.975999999999999</v>
      </c>
    </row>
    <row r="24" spans="1:25" ht="17" thickBot="1">
      <c r="A24" t="s">
        <v>19</v>
      </c>
      <c r="B24" t="s">
        <v>39</v>
      </c>
      <c r="C24" s="18">
        <v>2508595</v>
      </c>
      <c r="D24" s="26">
        <v>34043</v>
      </c>
      <c r="E24" s="20">
        <v>1.4073</v>
      </c>
      <c r="F24" s="21">
        <v>26534</v>
      </c>
      <c r="G24" s="20">
        <v>1.0969</v>
      </c>
      <c r="H24" s="26">
        <v>525545</v>
      </c>
      <c r="I24" s="20">
        <v>21.725000000000001</v>
      </c>
      <c r="J24" s="21">
        <v>924641</v>
      </c>
      <c r="K24" s="20">
        <v>38.222499999999997</v>
      </c>
      <c r="L24" s="26">
        <v>794790</v>
      </c>
      <c r="M24" s="20">
        <v>32.854799999999997</v>
      </c>
      <c r="N24" s="21">
        <v>9305</v>
      </c>
      <c r="O24" s="20">
        <v>0.3846</v>
      </c>
      <c r="P24" s="57">
        <v>104241</v>
      </c>
      <c r="Q24" s="24">
        <v>4.3090999999999999</v>
      </c>
      <c r="R24" s="58">
        <v>2419099</v>
      </c>
      <c r="S24" s="24"/>
      <c r="T24" s="26">
        <v>89496</v>
      </c>
      <c r="U24" s="24">
        <f>T24/C24</f>
        <v>3.5675746782561552E-2</v>
      </c>
      <c r="V24" s="58">
        <v>182806</v>
      </c>
      <c r="W24" s="24">
        <v>7.2872000000000003</v>
      </c>
      <c r="X24" s="27">
        <v>97632</v>
      </c>
      <c r="Y24" s="28">
        <v>99.986000000000004</v>
      </c>
    </row>
    <row r="25" spans="1:25">
      <c r="A25" t="s">
        <v>34</v>
      </c>
      <c r="B25" t="s">
        <v>39</v>
      </c>
      <c r="C25" s="118">
        <v>188011</v>
      </c>
      <c r="D25" s="117">
        <v>2481</v>
      </c>
      <c r="E25" s="60">
        <v>1.3</v>
      </c>
      <c r="F25" s="117">
        <v>889</v>
      </c>
      <c r="G25" s="60">
        <v>0.5</v>
      </c>
      <c r="H25" s="117">
        <v>25846</v>
      </c>
      <c r="I25" s="60">
        <v>13.8</v>
      </c>
      <c r="J25" s="117">
        <v>52044</v>
      </c>
      <c r="K25" s="60">
        <v>27.7</v>
      </c>
      <c r="L25" s="117">
        <v>86616</v>
      </c>
      <c r="M25" s="60">
        <v>46.1</v>
      </c>
      <c r="N25" s="117">
        <v>328</v>
      </c>
      <c r="O25" s="60">
        <v>0.2</v>
      </c>
      <c r="P25" s="117">
        <v>10619</v>
      </c>
      <c r="Q25" s="62">
        <v>5.7</v>
      </c>
      <c r="R25" s="70"/>
      <c r="S25" s="62"/>
      <c r="T25" s="50">
        <v>9188</v>
      </c>
      <c r="U25" s="62"/>
      <c r="V25" s="119">
        <v>8790</v>
      </c>
      <c r="X25" s="50">
        <v>84829</v>
      </c>
      <c r="Y25" s="51">
        <v>88.74</v>
      </c>
    </row>
    <row r="26" spans="1:25">
      <c r="C26" s="73"/>
      <c r="D26" s="73"/>
      <c r="E26" s="74"/>
      <c r="F26" s="75"/>
      <c r="G26" s="74"/>
      <c r="H26" s="75"/>
      <c r="I26" s="74"/>
      <c r="J26" s="75"/>
      <c r="K26" s="74"/>
      <c r="L26" s="75"/>
      <c r="M26" s="74"/>
      <c r="N26" s="75"/>
      <c r="O26" s="74"/>
      <c r="P26" s="76"/>
      <c r="Q26" s="77"/>
      <c r="R26" s="73"/>
      <c r="S26" s="77"/>
      <c r="T26" s="73"/>
      <c r="U26" s="77"/>
      <c r="V26" s="73"/>
      <c r="W26" s="75"/>
      <c r="X26" s="90"/>
      <c r="Y26" s="76"/>
    </row>
    <row r="27" spans="1:25">
      <c r="C27" s="106"/>
      <c r="D27" s="106"/>
    </row>
    <row r="28" spans="1:25">
      <c r="C28" s="106"/>
      <c r="D28" s="106"/>
    </row>
    <row r="30" spans="1:25">
      <c r="D30" s="120"/>
      <c r="E30" s="120"/>
      <c r="F30" s="120"/>
      <c r="G30" s="120"/>
      <c r="H30" s="120"/>
      <c r="I30" s="120"/>
      <c r="J30" s="120"/>
      <c r="K30" s="120"/>
      <c r="L30" s="120"/>
      <c r="O30" s="120"/>
      <c r="P30" s="120"/>
      <c r="Q30" s="120"/>
      <c r="R30" s="120"/>
      <c r="S30" s="120"/>
      <c r="T30" s="120"/>
      <c r="U30" s="120"/>
      <c r="V30" s="120"/>
      <c r="W30" s="120"/>
    </row>
    <row r="31" spans="1:25">
      <c r="C31" s="68"/>
      <c r="D31" s="69"/>
      <c r="E31" s="69"/>
      <c r="F31" s="69"/>
      <c r="G31" s="69"/>
      <c r="H31" s="69"/>
      <c r="I31" s="56"/>
      <c r="J31" s="69"/>
      <c r="K31" s="69"/>
      <c r="L31" s="69"/>
      <c r="N31" s="68"/>
      <c r="O31" s="68"/>
      <c r="P31" s="68"/>
      <c r="Q31" s="69"/>
      <c r="R31" s="69"/>
      <c r="S31" s="69"/>
      <c r="T31" s="13"/>
      <c r="U31" s="69"/>
      <c r="V31" s="68"/>
      <c r="W31" s="68"/>
    </row>
    <row r="32" spans="1:25">
      <c r="C32" s="68"/>
      <c r="D32" s="69"/>
      <c r="E32" s="69"/>
      <c r="F32" s="69"/>
      <c r="G32" s="69"/>
      <c r="H32" s="69"/>
      <c r="I32" s="56"/>
      <c r="J32" s="69"/>
      <c r="K32" s="69"/>
      <c r="L32" s="69"/>
      <c r="N32" s="68"/>
      <c r="O32" s="68"/>
      <c r="P32" s="68"/>
      <c r="Q32" s="68"/>
      <c r="R32" s="69"/>
      <c r="S32" s="69"/>
      <c r="T32" s="13"/>
      <c r="U32" s="69"/>
      <c r="V32" s="68"/>
      <c r="W32" s="68"/>
    </row>
    <row r="33" spans="3:23">
      <c r="C33" s="120"/>
      <c r="D33" s="85"/>
      <c r="E33" s="85"/>
      <c r="F33" s="85"/>
      <c r="G33" s="85"/>
      <c r="H33" s="85"/>
      <c r="I33" s="56"/>
      <c r="J33" s="85"/>
      <c r="K33" s="85"/>
      <c r="L33" s="85"/>
      <c r="N33" s="120"/>
      <c r="O33" s="80"/>
      <c r="P33" s="80"/>
      <c r="Q33" s="85"/>
      <c r="R33" s="85"/>
      <c r="S33" s="85"/>
      <c r="T33" s="56"/>
      <c r="U33" s="85"/>
      <c r="V33" s="80"/>
      <c r="W33" s="80"/>
    </row>
    <row r="35" spans="3:23">
      <c r="D35" s="120"/>
      <c r="E35" s="120"/>
      <c r="F35" s="120"/>
      <c r="G35" s="120"/>
      <c r="H35" s="120"/>
      <c r="I35" s="120"/>
      <c r="J35" s="120"/>
      <c r="K35" s="120"/>
      <c r="L35" s="120"/>
      <c r="O35" s="120"/>
      <c r="P35" s="120"/>
      <c r="Q35" s="120"/>
      <c r="R35" s="120"/>
      <c r="S35" s="120"/>
      <c r="T35" s="120"/>
      <c r="U35" s="120"/>
      <c r="V35" s="120"/>
      <c r="W35" s="120"/>
    </row>
    <row r="36" spans="3:23">
      <c r="C36" s="68"/>
      <c r="D36" s="69"/>
      <c r="E36" s="69"/>
      <c r="F36" s="69"/>
      <c r="G36" s="69"/>
      <c r="H36" s="69"/>
      <c r="I36" s="69"/>
      <c r="J36" s="68"/>
      <c r="K36" s="69"/>
      <c r="L36" s="68"/>
      <c r="N36" s="68"/>
      <c r="O36" s="68"/>
      <c r="P36" s="68"/>
      <c r="Q36" s="69"/>
      <c r="R36" s="69"/>
      <c r="S36" s="69"/>
      <c r="T36" s="69"/>
      <c r="U36" s="68"/>
      <c r="V36" s="68"/>
      <c r="W36" s="68"/>
    </row>
    <row r="37" spans="3:23">
      <c r="C37" s="68"/>
      <c r="D37" s="69"/>
      <c r="E37" s="69"/>
      <c r="F37" s="69"/>
      <c r="G37" s="69"/>
      <c r="H37" s="69"/>
      <c r="I37" s="69"/>
      <c r="J37" s="68"/>
      <c r="K37" s="69"/>
      <c r="L37" s="68"/>
      <c r="N37" s="68"/>
      <c r="O37" s="68"/>
      <c r="P37" s="68"/>
      <c r="Q37" s="69"/>
      <c r="R37" s="69"/>
      <c r="S37" s="69"/>
      <c r="T37" s="69"/>
      <c r="U37" s="68"/>
      <c r="V37" s="68"/>
      <c r="W37" s="68"/>
    </row>
    <row r="38" spans="3:23">
      <c r="C38" s="120"/>
      <c r="D38" s="85"/>
      <c r="E38" s="85"/>
      <c r="F38" s="85"/>
      <c r="G38" s="85"/>
      <c r="H38" s="85"/>
      <c r="I38" s="85"/>
      <c r="J38" s="80"/>
      <c r="K38" s="85"/>
      <c r="L38" s="80"/>
      <c r="N38" s="120"/>
      <c r="O38" s="80"/>
      <c r="P38" s="80"/>
      <c r="Q38" s="85"/>
      <c r="R38" s="85"/>
      <c r="S38" s="85"/>
      <c r="T38" s="85"/>
      <c r="U38" s="80"/>
      <c r="V38" s="85"/>
      <c r="W38" s="80"/>
    </row>
    <row r="40" spans="3:23">
      <c r="D40" s="120"/>
      <c r="E40" s="120"/>
      <c r="F40" s="120"/>
      <c r="G40" s="120"/>
      <c r="H40" s="120"/>
      <c r="I40" s="120"/>
      <c r="J40" s="120"/>
      <c r="K40" s="120"/>
      <c r="L40" s="120"/>
      <c r="O40" s="120"/>
      <c r="P40" s="120"/>
      <c r="Q40" s="120"/>
      <c r="R40" s="120"/>
      <c r="S40" s="120"/>
      <c r="T40" s="120"/>
      <c r="U40" s="120"/>
      <c r="V40" s="120"/>
      <c r="W40" s="120"/>
    </row>
    <row r="41" spans="3:23">
      <c r="C41" s="68"/>
      <c r="D41" s="69"/>
      <c r="E41" s="69"/>
      <c r="F41" s="69"/>
      <c r="G41" s="69"/>
      <c r="H41" s="69"/>
      <c r="I41" s="69"/>
      <c r="J41" s="69"/>
      <c r="K41" s="69"/>
      <c r="L41" s="69"/>
      <c r="N41" s="68"/>
      <c r="O41" s="68"/>
      <c r="P41" s="68"/>
      <c r="Q41" s="68"/>
      <c r="R41" s="68"/>
      <c r="S41" s="68"/>
      <c r="T41" s="68"/>
      <c r="U41" s="68"/>
      <c r="V41" s="68"/>
      <c r="W41" s="68"/>
    </row>
    <row r="42" spans="3:23">
      <c r="C42" s="68"/>
      <c r="D42" s="69"/>
      <c r="E42" s="69"/>
      <c r="F42" s="69"/>
      <c r="G42" s="69"/>
      <c r="H42" s="69"/>
      <c r="I42" s="69"/>
      <c r="J42" s="69"/>
      <c r="K42" s="69"/>
      <c r="L42" s="69"/>
      <c r="N42" s="68"/>
      <c r="O42" s="68"/>
      <c r="P42" s="68"/>
      <c r="Q42" s="68"/>
      <c r="R42" s="68"/>
      <c r="S42" s="68"/>
      <c r="T42" s="68"/>
      <c r="U42" s="68"/>
      <c r="V42" s="68"/>
      <c r="W42" s="68"/>
    </row>
    <row r="43" spans="3:23">
      <c r="C43" s="120"/>
      <c r="D43" s="85"/>
      <c r="E43" s="85"/>
      <c r="F43" s="85"/>
      <c r="G43" s="85"/>
      <c r="H43" s="85"/>
      <c r="I43" s="85"/>
      <c r="J43" s="85"/>
      <c r="K43" s="85"/>
      <c r="L43" s="85"/>
      <c r="N43" s="120"/>
      <c r="O43" s="80"/>
      <c r="P43" s="80"/>
      <c r="Q43" s="80"/>
      <c r="R43" s="80"/>
      <c r="S43" s="80"/>
      <c r="T43" s="80"/>
      <c r="U43" s="80"/>
      <c r="V43" s="80"/>
      <c r="W43" s="80"/>
    </row>
    <row r="46" spans="3:23"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</row>
    <row r="47" spans="3:23">
      <c r="D47" s="106"/>
      <c r="E47" s="105"/>
      <c r="F47" s="106"/>
      <c r="G47" s="105"/>
      <c r="H47" s="106"/>
      <c r="I47" s="105"/>
      <c r="J47" s="106"/>
      <c r="K47" s="105"/>
      <c r="L47" s="106"/>
      <c r="M47" s="105"/>
      <c r="N47" s="106"/>
      <c r="O47" s="105"/>
      <c r="P47" s="106"/>
      <c r="Q47" s="105"/>
    </row>
    <row r="48" spans="3:23">
      <c r="D48" s="106"/>
      <c r="E48" s="105"/>
      <c r="F48" s="106"/>
      <c r="G48" s="105"/>
      <c r="H48" s="106"/>
      <c r="I48" s="105"/>
      <c r="J48" s="106"/>
      <c r="K48" s="105"/>
      <c r="L48" s="106"/>
      <c r="M48" s="105"/>
      <c r="N48" s="106"/>
      <c r="O48" s="105"/>
      <c r="P48" s="106"/>
      <c r="Q48" s="105"/>
    </row>
    <row r="49" spans="4:17"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</row>
  </sheetData>
  <sortState xmlns:xlrd2="http://schemas.microsoft.com/office/spreadsheetml/2017/richdata2" ref="A19:Z27">
    <sortCondition descending="1" ref="Z19:Z27"/>
  </sortState>
  <mergeCells count="37">
    <mergeCell ref="X4:X5"/>
    <mergeCell ref="Y4:Y5"/>
    <mergeCell ref="D5:E5"/>
    <mergeCell ref="F5:G5"/>
    <mergeCell ref="H5:I5"/>
    <mergeCell ref="J5:K5"/>
    <mergeCell ref="L5:M5"/>
    <mergeCell ref="N5:O5"/>
    <mergeCell ref="P5:Q5"/>
    <mergeCell ref="V4:W5"/>
    <mergeCell ref="B4:B5"/>
    <mergeCell ref="C4:C5"/>
    <mergeCell ref="D4:Q4"/>
    <mergeCell ref="T4:U5"/>
    <mergeCell ref="R4:S5"/>
    <mergeCell ref="B17:B18"/>
    <mergeCell ref="C17:C18"/>
    <mergeCell ref="D17:Q17"/>
    <mergeCell ref="R17:S18"/>
    <mergeCell ref="T17:U18"/>
    <mergeCell ref="V17:W18"/>
    <mergeCell ref="X17:X18"/>
    <mergeCell ref="Y17:Y18"/>
    <mergeCell ref="D18:E18"/>
    <mergeCell ref="F18:G18"/>
    <mergeCell ref="H18:I18"/>
    <mergeCell ref="J18:K18"/>
    <mergeCell ref="L18:M18"/>
    <mergeCell ref="N18:O18"/>
    <mergeCell ref="P18:Q18"/>
    <mergeCell ref="N46:O46"/>
    <mergeCell ref="P46:Q46"/>
    <mergeCell ref="D46:E46"/>
    <mergeCell ref="F46:G46"/>
    <mergeCell ref="H46:I46"/>
    <mergeCell ref="J46:K46"/>
    <mergeCell ref="L46:M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84132-BE66-AA47-85A6-ECC808469253}">
  <dimension ref="A1:Y34"/>
  <sheetViews>
    <sheetView topLeftCell="D1" workbookViewId="0">
      <selection activeCell="H18" activeCellId="1" sqref="H5:I12 H18:I25"/>
    </sheetView>
  </sheetViews>
  <sheetFormatPr baseColWidth="10" defaultRowHeight="16"/>
  <sheetData>
    <row r="1" spans="1:25" ht="17" thickBot="1"/>
    <row r="2" spans="1:25" ht="35" customHeight="1">
      <c r="R2" s="198"/>
      <c r="S2" s="199"/>
    </row>
    <row r="3" spans="1:25" ht="17" thickBot="1">
      <c r="R3" s="200"/>
      <c r="S3" s="201"/>
    </row>
    <row r="4" spans="1:25" s="2" customFormat="1" ht="25.25" customHeight="1">
      <c r="A4" s="12" t="s">
        <v>18</v>
      </c>
      <c r="B4" s="191" t="s">
        <v>0</v>
      </c>
      <c r="C4" s="193" t="s">
        <v>1</v>
      </c>
      <c r="D4" s="195" t="s">
        <v>2</v>
      </c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7"/>
      <c r="R4" s="198" t="s">
        <v>38</v>
      </c>
      <c r="S4" s="199"/>
      <c r="T4" s="181" t="s">
        <v>4</v>
      </c>
      <c r="U4" s="182"/>
      <c r="V4" s="181" t="s">
        <v>5</v>
      </c>
      <c r="W4" s="182"/>
      <c r="X4" s="186" t="s">
        <v>6</v>
      </c>
      <c r="Y4" s="188" t="s">
        <v>7</v>
      </c>
    </row>
    <row r="5" spans="1:25" s="2" customFormat="1" ht="25.25" customHeight="1" thickBot="1">
      <c r="A5" s="1"/>
      <c r="B5" s="192"/>
      <c r="C5" s="194"/>
      <c r="D5" s="180" t="s">
        <v>8</v>
      </c>
      <c r="E5" s="176"/>
      <c r="F5" s="190" t="s">
        <v>9</v>
      </c>
      <c r="G5" s="176"/>
      <c r="H5" s="175" t="s">
        <v>10</v>
      </c>
      <c r="I5" s="176"/>
      <c r="J5" s="175" t="s">
        <v>11</v>
      </c>
      <c r="K5" s="176"/>
      <c r="L5" s="175" t="s">
        <v>12</v>
      </c>
      <c r="M5" s="176"/>
      <c r="N5" s="175" t="s">
        <v>13</v>
      </c>
      <c r="O5" s="176"/>
      <c r="P5" s="175" t="s">
        <v>14</v>
      </c>
      <c r="Q5" s="179"/>
      <c r="R5" s="200"/>
      <c r="S5" s="201"/>
      <c r="T5" s="183"/>
      <c r="U5" s="184"/>
      <c r="V5" s="183"/>
      <c r="W5" s="184"/>
      <c r="X5" s="187"/>
      <c r="Y5" s="189"/>
    </row>
    <row r="6" spans="1:25" s="2" customFormat="1" ht="15" customHeight="1" thickBot="1">
      <c r="A6" s="1"/>
      <c r="B6" s="3"/>
      <c r="C6" s="4"/>
      <c r="D6" s="5" t="s">
        <v>15</v>
      </c>
      <c r="E6" s="6" t="s">
        <v>16</v>
      </c>
      <c r="F6" s="7" t="s">
        <v>15</v>
      </c>
      <c r="G6" s="6" t="s">
        <v>16</v>
      </c>
      <c r="H6" s="7" t="s">
        <v>15</v>
      </c>
      <c r="I6" s="6" t="s">
        <v>16</v>
      </c>
      <c r="J6" s="7" t="s">
        <v>15</v>
      </c>
      <c r="K6" s="6" t="s">
        <v>16</v>
      </c>
      <c r="L6" s="7" t="s">
        <v>15</v>
      </c>
      <c r="M6" s="6" t="s">
        <v>16</v>
      </c>
      <c r="N6" s="7" t="s">
        <v>15</v>
      </c>
      <c r="O6" s="6" t="s">
        <v>16</v>
      </c>
      <c r="P6" s="7" t="s">
        <v>15</v>
      </c>
      <c r="Q6" s="8" t="s">
        <v>16</v>
      </c>
      <c r="R6" s="5" t="s">
        <v>15</v>
      </c>
      <c r="S6" s="9" t="s">
        <v>17</v>
      </c>
      <c r="T6" s="5" t="s">
        <v>15</v>
      </c>
      <c r="U6" s="9" t="s">
        <v>17</v>
      </c>
      <c r="V6" s="7" t="s">
        <v>15</v>
      </c>
      <c r="W6" s="9" t="s">
        <v>17</v>
      </c>
      <c r="X6" s="10"/>
      <c r="Y6" s="11"/>
    </row>
    <row r="7" spans="1:25" ht="18" thickTop="1" thickBot="1">
      <c r="A7" t="s">
        <v>35</v>
      </c>
      <c r="B7" t="s">
        <v>36</v>
      </c>
      <c r="C7" s="53">
        <v>35164</v>
      </c>
      <c r="D7" s="53">
        <v>85</v>
      </c>
      <c r="E7" s="15">
        <v>0.2</v>
      </c>
      <c r="F7" s="53">
        <v>325</v>
      </c>
      <c r="G7" s="15">
        <v>0.9</v>
      </c>
      <c r="H7" s="53">
        <v>6817</v>
      </c>
      <c r="I7" s="15">
        <v>19.399999999999999</v>
      </c>
      <c r="J7" s="53">
        <v>15902</v>
      </c>
      <c r="K7" s="15">
        <v>45.2</v>
      </c>
      <c r="L7" s="53">
        <v>14027</v>
      </c>
      <c r="M7" s="15">
        <v>39.9</v>
      </c>
      <c r="N7" s="13"/>
      <c r="O7" s="15"/>
      <c r="P7" s="14"/>
      <c r="Q7" s="15"/>
      <c r="R7">
        <v>35042</v>
      </c>
      <c r="S7">
        <v>99.7</v>
      </c>
      <c r="T7" s="53">
        <v>122</v>
      </c>
      <c r="U7">
        <v>0.3</v>
      </c>
      <c r="V7" s="53">
        <v>974</v>
      </c>
      <c r="W7" s="15">
        <v>2.8</v>
      </c>
    </row>
    <row r="8" spans="1:25" ht="17" thickTop="1">
      <c r="A8" t="s">
        <v>30</v>
      </c>
      <c r="B8" t="s">
        <v>36</v>
      </c>
      <c r="C8" s="29">
        <v>81884</v>
      </c>
      <c r="D8" s="30">
        <v>195</v>
      </c>
      <c r="E8" s="32">
        <v>0.15975618748003001</v>
      </c>
      <c r="F8" s="33">
        <v>781</v>
      </c>
      <c r="G8" s="32">
        <v>0.63984401242001998</v>
      </c>
      <c r="H8" s="30">
        <v>16446</v>
      </c>
      <c r="I8" s="32">
        <v>13.4735910733158</v>
      </c>
      <c r="J8" s="33">
        <v>34895</v>
      </c>
      <c r="K8" s="32">
        <v>28.5881649339265</v>
      </c>
      <c r="L8" s="30">
        <v>26646</v>
      </c>
      <c r="M8" s="32">
        <v>21.830068572271198</v>
      </c>
      <c r="N8" s="33">
        <v>54</v>
      </c>
      <c r="O8" s="32">
        <v>4.424017499447E-2</v>
      </c>
      <c r="P8" s="34">
        <v>2266</v>
      </c>
      <c r="Q8" s="31">
        <v>1.85644882476794</v>
      </c>
      <c r="R8" s="33">
        <v>81283</v>
      </c>
      <c r="S8" s="35">
        <v>99.3</v>
      </c>
      <c r="T8" s="30">
        <v>601</v>
      </c>
      <c r="U8" s="31">
        <v>0.7</v>
      </c>
      <c r="V8" s="30">
        <v>3732</v>
      </c>
      <c r="W8" s="31">
        <v>3.0376037766563599</v>
      </c>
      <c r="X8" s="36">
        <v>4221</v>
      </c>
      <c r="Y8" s="37">
        <v>100</v>
      </c>
    </row>
    <row r="9" spans="1:25">
      <c r="A9" t="s">
        <v>29</v>
      </c>
      <c r="B9" t="s">
        <v>36</v>
      </c>
      <c r="C9" s="29">
        <v>94651</v>
      </c>
      <c r="D9" s="30">
        <v>189</v>
      </c>
      <c r="E9" s="32">
        <v>0.2</v>
      </c>
      <c r="F9" s="33">
        <v>639</v>
      </c>
      <c r="G9" s="32">
        <v>0.7</v>
      </c>
      <c r="H9" s="30">
        <v>18973</v>
      </c>
      <c r="I9" s="32">
        <v>20.399999999999999</v>
      </c>
      <c r="J9" s="33">
        <v>49069</v>
      </c>
      <c r="K9" s="32">
        <v>52.8</v>
      </c>
      <c r="L9" s="30">
        <v>21583</v>
      </c>
      <c r="M9" s="32">
        <v>23.2</v>
      </c>
      <c r="N9" s="33">
        <v>61</v>
      </c>
      <c r="O9" s="32">
        <v>0.1</v>
      </c>
      <c r="P9" s="34">
        <v>2354</v>
      </c>
      <c r="Q9" s="31">
        <v>2.5</v>
      </c>
      <c r="R9" s="33">
        <v>92868</v>
      </c>
      <c r="S9" s="35">
        <v>98.1</v>
      </c>
      <c r="T9" s="30">
        <v>1783</v>
      </c>
      <c r="U9" s="31">
        <v>1.9</v>
      </c>
      <c r="V9" s="30">
        <v>4407</v>
      </c>
      <c r="W9" s="31">
        <v>4.7</v>
      </c>
      <c r="X9" s="39">
        <v>4134</v>
      </c>
      <c r="Y9" s="37">
        <v>100</v>
      </c>
    </row>
    <row r="10" spans="1:25">
      <c r="A10" t="s">
        <v>20</v>
      </c>
      <c r="B10" t="s">
        <v>36</v>
      </c>
      <c r="C10" s="18">
        <v>56618</v>
      </c>
      <c r="D10" s="19">
        <v>135</v>
      </c>
      <c r="E10" s="20">
        <v>0.24390000000000001</v>
      </c>
      <c r="F10" s="21">
        <v>444</v>
      </c>
      <c r="G10" s="20">
        <v>0.80220000000000002</v>
      </c>
      <c r="H10" s="22">
        <v>10969</v>
      </c>
      <c r="I10" s="20">
        <v>19.819299999999998</v>
      </c>
      <c r="J10" s="21">
        <v>24528</v>
      </c>
      <c r="K10" s="20">
        <v>44.318399999999997</v>
      </c>
      <c r="L10" s="22">
        <v>16958</v>
      </c>
      <c r="M10" s="20">
        <v>30.640499999999999</v>
      </c>
      <c r="N10" s="21">
        <v>38</v>
      </c>
      <c r="O10" s="20">
        <v>6.8699999999999997E-2</v>
      </c>
      <c r="P10" s="23">
        <v>2273</v>
      </c>
      <c r="Q10" s="24">
        <v>4.1070000000000002</v>
      </c>
      <c r="R10" s="26">
        <v>55345</v>
      </c>
      <c r="S10" s="62">
        <v>97.8</v>
      </c>
      <c r="T10" s="19">
        <v>1273</v>
      </c>
      <c r="U10" s="24">
        <v>2.2484000000000002</v>
      </c>
      <c r="V10" s="19">
        <v>3140</v>
      </c>
      <c r="W10" s="25">
        <v>5.5458999999999996</v>
      </c>
      <c r="X10" s="27">
        <v>4081</v>
      </c>
      <c r="Y10" s="28">
        <v>99.706000000000003</v>
      </c>
    </row>
    <row r="11" spans="1:25">
      <c r="A11" t="s">
        <v>19</v>
      </c>
      <c r="B11" t="s">
        <v>36</v>
      </c>
      <c r="C11" s="26">
        <v>49295</v>
      </c>
      <c r="D11" s="19">
        <v>104</v>
      </c>
      <c r="E11" s="20">
        <v>0.21779999999999999</v>
      </c>
      <c r="F11" s="21">
        <v>388</v>
      </c>
      <c r="G11" s="20">
        <v>0.81259999999999999</v>
      </c>
      <c r="H11" s="22">
        <v>9339</v>
      </c>
      <c r="I11" s="20">
        <v>19.559000000000001</v>
      </c>
      <c r="J11" s="21">
        <v>20943</v>
      </c>
      <c r="K11" s="20">
        <v>43.861499999999999</v>
      </c>
      <c r="L11" s="22">
        <v>14783</v>
      </c>
      <c r="M11" s="20">
        <v>30.9605</v>
      </c>
      <c r="N11" s="21">
        <v>36</v>
      </c>
      <c r="O11" s="20">
        <v>7.5399999999999995E-2</v>
      </c>
      <c r="P11" s="23">
        <v>2155</v>
      </c>
      <c r="Q11" s="24">
        <v>4.5133000000000001</v>
      </c>
      <c r="R11" s="26">
        <v>47748</v>
      </c>
      <c r="S11" s="62">
        <v>96.9</v>
      </c>
      <c r="T11" s="19">
        <v>1547</v>
      </c>
      <c r="U11" s="24">
        <v>3.1381999999999999</v>
      </c>
      <c r="V11" s="19">
        <v>2824</v>
      </c>
      <c r="W11" s="25">
        <v>5.7287999999999997</v>
      </c>
      <c r="X11" s="27">
        <v>4145</v>
      </c>
      <c r="Y11" s="28">
        <v>100</v>
      </c>
    </row>
    <row r="12" spans="1:25">
      <c r="A12" t="s">
        <v>34</v>
      </c>
      <c r="B12" t="s">
        <v>36</v>
      </c>
      <c r="C12">
        <v>6819</v>
      </c>
      <c r="D12">
        <v>8</v>
      </c>
      <c r="E12">
        <v>0.1</v>
      </c>
      <c r="F12">
        <v>42</v>
      </c>
      <c r="G12">
        <v>0.6</v>
      </c>
      <c r="H12">
        <v>855</v>
      </c>
      <c r="I12">
        <v>12.5</v>
      </c>
      <c r="J12">
        <v>1215</v>
      </c>
      <c r="K12">
        <v>17.8</v>
      </c>
      <c r="L12">
        <v>4057</v>
      </c>
      <c r="M12">
        <v>59.5</v>
      </c>
      <c r="N12">
        <v>6</v>
      </c>
      <c r="O12">
        <v>0.1</v>
      </c>
      <c r="P12">
        <v>438</v>
      </c>
      <c r="Q12">
        <v>6.4</v>
      </c>
      <c r="R12">
        <v>6621</v>
      </c>
      <c r="S12">
        <v>97.1</v>
      </c>
      <c r="T12" s="50">
        <v>198</v>
      </c>
      <c r="U12">
        <v>2.9</v>
      </c>
      <c r="V12">
        <v>352</v>
      </c>
      <c r="W12">
        <v>5.2</v>
      </c>
      <c r="X12" s="50">
        <v>3387</v>
      </c>
      <c r="Y12" s="51">
        <v>83.26</v>
      </c>
    </row>
    <row r="14" spans="1:25">
      <c r="E14" s="15"/>
      <c r="G14" s="15"/>
      <c r="H14" s="13"/>
      <c r="I14" s="15"/>
      <c r="K14" s="15"/>
      <c r="M14" s="105"/>
      <c r="N14" s="106"/>
      <c r="O14" s="105"/>
      <c r="P14" s="106"/>
      <c r="Q14" s="105"/>
      <c r="R14" s="106"/>
      <c r="S14" s="105"/>
    </row>
    <row r="15" spans="1:25">
      <c r="E15" s="15"/>
      <c r="G15" s="15"/>
      <c r="H15" s="14"/>
      <c r="I15" s="15"/>
      <c r="J15" s="13"/>
      <c r="K15" s="15"/>
      <c r="M15" s="105"/>
      <c r="N15" s="106"/>
      <c r="O15" s="105"/>
      <c r="P15" s="106"/>
      <c r="Q15" s="105"/>
      <c r="R15" s="106"/>
      <c r="S15" s="105"/>
    </row>
    <row r="16" spans="1:25" ht="17" thickBot="1"/>
    <row r="17" spans="1:25" s="2" customFormat="1" ht="25.25" customHeight="1">
      <c r="A17" s="12" t="s">
        <v>18</v>
      </c>
      <c r="B17" s="191" t="s">
        <v>0</v>
      </c>
      <c r="C17" s="193" t="s">
        <v>1</v>
      </c>
      <c r="D17" s="195" t="s">
        <v>2</v>
      </c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  <c r="Q17" s="197"/>
      <c r="R17" s="198" t="s">
        <v>38</v>
      </c>
      <c r="S17" s="199"/>
      <c r="T17" s="181" t="s">
        <v>4</v>
      </c>
      <c r="U17" s="182"/>
      <c r="V17" s="181" t="s">
        <v>5</v>
      </c>
      <c r="W17" s="182"/>
      <c r="X17" s="186" t="s">
        <v>6</v>
      </c>
      <c r="Y17" s="188" t="s">
        <v>7</v>
      </c>
    </row>
    <row r="18" spans="1:25" s="2" customFormat="1" ht="25.25" customHeight="1" thickBot="1">
      <c r="A18" s="1"/>
      <c r="B18" s="192"/>
      <c r="C18" s="194"/>
      <c r="D18" s="180" t="s">
        <v>8</v>
      </c>
      <c r="E18" s="176"/>
      <c r="F18" s="190" t="s">
        <v>9</v>
      </c>
      <c r="G18" s="176"/>
      <c r="H18" s="175" t="s">
        <v>10</v>
      </c>
      <c r="I18" s="176"/>
      <c r="J18" s="175" t="s">
        <v>11</v>
      </c>
      <c r="K18" s="176"/>
      <c r="L18" s="175" t="s">
        <v>12</v>
      </c>
      <c r="M18" s="176"/>
      <c r="N18" s="175" t="s">
        <v>13</v>
      </c>
      <c r="O18" s="176"/>
      <c r="P18" s="175" t="s">
        <v>14</v>
      </c>
      <c r="Q18" s="179"/>
      <c r="R18" s="200"/>
      <c r="S18" s="201"/>
      <c r="T18" s="183"/>
      <c r="U18" s="184"/>
      <c r="V18" s="183"/>
      <c r="W18" s="184"/>
      <c r="X18" s="187"/>
      <c r="Y18" s="189"/>
    </row>
    <row r="19" spans="1:25" s="2" customFormat="1" ht="15" customHeight="1" thickBot="1">
      <c r="A19" s="1"/>
      <c r="B19" s="3"/>
      <c r="C19" s="4"/>
      <c r="D19" s="5" t="s">
        <v>15</v>
      </c>
      <c r="E19" s="6" t="s">
        <v>16</v>
      </c>
      <c r="F19" s="7" t="s">
        <v>15</v>
      </c>
      <c r="G19" s="6" t="s">
        <v>16</v>
      </c>
      <c r="H19" s="7" t="s">
        <v>15</v>
      </c>
      <c r="I19" s="6" t="s">
        <v>16</v>
      </c>
      <c r="J19" s="7" t="s">
        <v>15</v>
      </c>
      <c r="K19" s="6" t="s">
        <v>16</v>
      </c>
      <c r="L19" s="7" t="s">
        <v>15</v>
      </c>
      <c r="M19" s="6" t="s">
        <v>16</v>
      </c>
      <c r="N19" s="7" t="s">
        <v>15</v>
      </c>
      <c r="O19" s="6" t="s">
        <v>16</v>
      </c>
      <c r="P19" s="7" t="s">
        <v>15</v>
      </c>
      <c r="Q19" s="8" t="s">
        <v>16</v>
      </c>
      <c r="R19" s="5" t="s">
        <v>15</v>
      </c>
      <c r="S19" s="9" t="s">
        <v>17</v>
      </c>
      <c r="T19" s="5" t="s">
        <v>15</v>
      </c>
      <c r="U19" s="9" t="s">
        <v>17</v>
      </c>
      <c r="V19" s="7" t="s">
        <v>15</v>
      </c>
      <c r="W19" s="9" t="s">
        <v>17</v>
      </c>
      <c r="X19" s="10"/>
      <c r="Y19" s="11"/>
    </row>
    <row r="20" spans="1:25" ht="18" thickTop="1" thickBot="1">
      <c r="A20" t="s">
        <v>35</v>
      </c>
      <c r="B20" t="s">
        <v>39</v>
      </c>
      <c r="C20" s="54">
        <v>1076714</v>
      </c>
      <c r="D20" s="54">
        <v>29830</v>
      </c>
      <c r="E20">
        <v>2.8</v>
      </c>
      <c r="F20" s="54">
        <v>19028</v>
      </c>
      <c r="G20" s="126">
        <v>1.8</v>
      </c>
      <c r="H20" s="54">
        <v>228051</v>
      </c>
      <c r="I20" s="127">
        <v>21.2</v>
      </c>
      <c r="J20" s="54">
        <v>432668</v>
      </c>
      <c r="K20" s="127">
        <v>40.200000000000003</v>
      </c>
      <c r="L20" s="54">
        <v>384697</v>
      </c>
      <c r="M20" s="127">
        <v>35.700000000000003</v>
      </c>
      <c r="R20" s="54">
        <v>1062855</v>
      </c>
      <c r="T20" s="54">
        <v>13859</v>
      </c>
      <c r="V20" s="54">
        <v>78839</v>
      </c>
    </row>
    <row r="21" spans="1:25" ht="17" thickTop="1">
      <c r="A21" t="s">
        <v>30</v>
      </c>
      <c r="B21" t="s">
        <v>39</v>
      </c>
      <c r="C21" s="33">
        <v>2215608</v>
      </c>
      <c r="D21" s="33">
        <v>30389</v>
      </c>
      <c r="E21" s="35">
        <v>0.96740387878371104</v>
      </c>
      <c r="F21" s="33">
        <v>27045</v>
      </c>
      <c r="G21" s="35">
        <v>0.860950932959475</v>
      </c>
      <c r="H21" s="33">
        <v>487822</v>
      </c>
      <c r="I21" s="35">
        <v>15.5293328163489</v>
      </c>
      <c r="J21" s="33">
        <v>776082</v>
      </c>
      <c r="K21" s="35">
        <v>24.7058059513054</v>
      </c>
      <c r="L21" s="33">
        <v>807781</v>
      </c>
      <c r="M21" s="35">
        <v>25.714912389607601</v>
      </c>
      <c r="N21" s="33">
        <v>5931</v>
      </c>
      <c r="O21" s="35">
        <v>0.188807542369482</v>
      </c>
      <c r="P21" s="33">
        <v>56314</v>
      </c>
      <c r="Q21" s="35">
        <v>1.79270071505564</v>
      </c>
      <c r="R21" s="33">
        <v>2191364</v>
      </c>
      <c r="S21" s="35">
        <v>69.075839355844806</v>
      </c>
      <c r="T21" s="33">
        <v>24244</v>
      </c>
      <c r="U21" s="35">
        <v>0.76421564347278703</v>
      </c>
      <c r="V21" s="33">
        <v>150848</v>
      </c>
      <c r="W21" s="35">
        <v>4.7550074817102397</v>
      </c>
      <c r="X21" s="95">
        <v>95635</v>
      </c>
      <c r="Y21" s="63">
        <v>99.789825900559407</v>
      </c>
    </row>
    <row r="22" spans="1:25" ht="17" thickBot="1">
      <c r="A22" t="s">
        <v>29</v>
      </c>
      <c r="B22" t="s">
        <v>39</v>
      </c>
      <c r="C22" s="33">
        <v>1860002</v>
      </c>
      <c r="D22" s="33">
        <v>24585</v>
      </c>
      <c r="E22" s="35">
        <v>1.3</v>
      </c>
      <c r="F22" s="33">
        <v>20907</v>
      </c>
      <c r="G22" s="35">
        <v>1.1000000000000001</v>
      </c>
      <c r="H22" s="33">
        <v>397077</v>
      </c>
      <c r="I22" s="35">
        <v>21.8</v>
      </c>
      <c r="J22" s="33">
        <v>684082</v>
      </c>
      <c r="K22" s="35">
        <v>37.5</v>
      </c>
      <c r="L22" s="33">
        <v>636731</v>
      </c>
      <c r="M22" s="35">
        <v>34.9</v>
      </c>
      <c r="N22" s="33">
        <v>6454</v>
      </c>
      <c r="O22" s="35">
        <v>0.4</v>
      </c>
      <c r="P22" s="33">
        <v>55457</v>
      </c>
      <c r="Q22" s="35">
        <v>3</v>
      </c>
      <c r="R22" s="33">
        <v>1825293</v>
      </c>
      <c r="S22" s="35">
        <v>98.1</v>
      </c>
      <c r="T22" s="33">
        <v>34709</v>
      </c>
      <c r="U22" s="35">
        <v>1.9</v>
      </c>
      <c r="V22" s="33">
        <v>137312</v>
      </c>
      <c r="W22" s="35">
        <v>7.4</v>
      </c>
      <c r="X22" s="71">
        <v>95507</v>
      </c>
      <c r="Y22" s="63">
        <v>99.9</v>
      </c>
    </row>
    <row r="23" spans="1:25" ht="17" thickBot="1">
      <c r="A23" t="s">
        <v>20</v>
      </c>
      <c r="B23" t="s">
        <v>39</v>
      </c>
      <c r="C23" s="18">
        <v>1800158</v>
      </c>
      <c r="D23" s="26">
        <v>24342</v>
      </c>
      <c r="E23" s="20">
        <v>1.395</v>
      </c>
      <c r="F23" s="21">
        <v>19010</v>
      </c>
      <c r="G23" s="20">
        <v>1.0893999999999999</v>
      </c>
      <c r="H23" s="26">
        <v>375404</v>
      </c>
      <c r="I23" s="20">
        <v>21.5139</v>
      </c>
      <c r="J23" s="21">
        <v>657814</v>
      </c>
      <c r="K23" s="20">
        <v>37.698500000000003</v>
      </c>
      <c r="L23" s="26">
        <v>597597</v>
      </c>
      <c r="M23" s="20">
        <v>34.247599999999998</v>
      </c>
      <c r="N23" s="21">
        <v>5877</v>
      </c>
      <c r="O23" s="20">
        <v>0.33679999999999999</v>
      </c>
      <c r="P23" s="57">
        <v>64889</v>
      </c>
      <c r="Q23" s="24">
        <v>3.7187000000000001</v>
      </c>
      <c r="R23" s="58">
        <v>1744933</v>
      </c>
      <c r="S23" s="24"/>
      <c r="T23" s="26">
        <v>55225</v>
      </c>
      <c r="U23" s="24"/>
      <c r="V23" s="58">
        <v>133609</v>
      </c>
      <c r="W23" s="24">
        <v>7.4221000000000004</v>
      </c>
      <c r="X23" s="27">
        <v>96360</v>
      </c>
      <c r="Y23" s="28">
        <v>99.975999999999999</v>
      </c>
    </row>
    <row r="24" spans="1:25" ht="17" thickBot="1">
      <c r="A24" t="s">
        <v>19</v>
      </c>
      <c r="B24" t="s">
        <v>39</v>
      </c>
      <c r="C24" s="18">
        <v>1769207</v>
      </c>
      <c r="D24" s="26">
        <v>23424</v>
      </c>
      <c r="E24" s="20">
        <v>1.3778999999999999</v>
      </c>
      <c r="F24" s="21">
        <v>20846</v>
      </c>
      <c r="G24" s="20">
        <v>1.2262999999999999</v>
      </c>
      <c r="H24" s="26">
        <v>370069</v>
      </c>
      <c r="I24" s="20">
        <v>21.768999999999998</v>
      </c>
      <c r="J24" s="21">
        <v>602583</v>
      </c>
      <c r="K24" s="20">
        <v>35.447200000000002</v>
      </c>
      <c r="L24" s="26">
        <v>603297</v>
      </c>
      <c r="M24" s="20">
        <v>35.489199999999997</v>
      </c>
      <c r="N24" s="21">
        <v>6341</v>
      </c>
      <c r="O24" s="20">
        <v>0.373</v>
      </c>
      <c r="P24" s="57">
        <v>73387</v>
      </c>
      <c r="Q24" s="24">
        <v>4.3170000000000002</v>
      </c>
      <c r="R24" s="58">
        <v>1699947</v>
      </c>
      <c r="S24" s="24"/>
      <c r="T24" s="26">
        <v>69260</v>
      </c>
      <c r="U24" s="24"/>
      <c r="V24" s="58">
        <v>137714</v>
      </c>
      <c r="W24" s="24">
        <v>7.7839</v>
      </c>
      <c r="X24" s="27">
        <v>97632</v>
      </c>
      <c r="Y24" s="28">
        <v>99.986000000000004</v>
      </c>
    </row>
    <row r="25" spans="1:25">
      <c r="A25" t="s">
        <v>34</v>
      </c>
      <c r="B25" t="s">
        <v>39</v>
      </c>
      <c r="C25" s="118">
        <v>141261</v>
      </c>
      <c r="D25" s="117">
        <v>1807</v>
      </c>
      <c r="E25" s="60">
        <v>1.3</v>
      </c>
      <c r="F25" s="117">
        <v>694</v>
      </c>
      <c r="G25" s="60">
        <v>0.5</v>
      </c>
      <c r="H25" s="117">
        <v>19428</v>
      </c>
      <c r="I25" s="60">
        <v>13.8</v>
      </c>
      <c r="J25" s="117">
        <v>36851</v>
      </c>
      <c r="K25" s="60">
        <v>26.1</v>
      </c>
      <c r="L25" s="117">
        <v>67042</v>
      </c>
      <c r="M25" s="60">
        <v>47.5</v>
      </c>
      <c r="N25" s="117">
        <v>255</v>
      </c>
      <c r="O25" s="60">
        <v>0.2</v>
      </c>
      <c r="P25" s="117">
        <v>7783</v>
      </c>
      <c r="Q25" s="62">
        <v>5.5</v>
      </c>
      <c r="R25" s="70"/>
      <c r="S25" s="62"/>
      <c r="T25" s="50">
        <v>7401</v>
      </c>
      <c r="U25" s="62"/>
      <c r="V25" s="119">
        <v>7003</v>
      </c>
      <c r="X25" s="50">
        <v>84829</v>
      </c>
      <c r="Y25" s="51">
        <v>88.74</v>
      </c>
    </row>
    <row r="26" spans="1:25">
      <c r="C26" s="50"/>
      <c r="D26" s="50"/>
      <c r="E26" s="60"/>
      <c r="G26" s="60"/>
      <c r="I26" s="60"/>
      <c r="K26" s="60"/>
      <c r="M26" s="60"/>
      <c r="O26" s="60"/>
      <c r="P26" s="61"/>
      <c r="Q26" s="62"/>
      <c r="R26" s="59"/>
      <c r="S26" s="62"/>
      <c r="T26" s="59"/>
      <c r="U26" s="62"/>
      <c r="V26" s="59"/>
      <c r="X26" s="66"/>
      <c r="Y26" s="61"/>
    </row>
    <row r="27" spans="1:25" ht="17" thickBot="1">
      <c r="C27" s="50"/>
      <c r="D27" s="50"/>
    </row>
    <row r="28" spans="1:25" ht="18" thickTop="1" thickBot="1">
      <c r="D28" s="108"/>
      <c r="E28" s="108"/>
      <c r="F28" s="108"/>
      <c r="G28" s="108"/>
      <c r="H28" s="108"/>
      <c r="I28" s="108"/>
      <c r="J28" s="108"/>
      <c r="K28" s="108"/>
      <c r="L28" s="109"/>
      <c r="O28" s="108"/>
      <c r="P28" s="108"/>
      <c r="Q28" s="108"/>
      <c r="R28" s="108"/>
      <c r="S28" s="108"/>
      <c r="T28" s="108"/>
      <c r="U28" s="108"/>
      <c r="V28" s="108"/>
      <c r="W28" s="109"/>
    </row>
    <row r="29" spans="1:25" ht="18" thickTop="1" thickBot="1">
      <c r="C29" s="110"/>
      <c r="D29" s="54"/>
      <c r="E29" s="54"/>
      <c r="F29" s="54"/>
      <c r="G29" s="54"/>
      <c r="H29" s="54"/>
      <c r="I29" s="54"/>
      <c r="J29" s="54"/>
      <c r="K29" s="54"/>
      <c r="L29" s="54"/>
      <c r="N29" s="110"/>
      <c r="O29" s="53"/>
      <c r="P29" s="53"/>
      <c r="Q29" s="53"/>
      <c r="R29" s="53"/>
      <c r="S29" s="53"/>
      <c r="T29" s="53"/>
      <c r="U29" s="53"/>
      <c r="V29" s="53"/>
      <c r="W29" s="53"/>
    </row>
    <row r="30" spans="1:25" ht="17" thickTop="1"/>
    <row r="31" spans="1:25"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</row>
    <row r="32" spans="1:25">
      <c r="D32" s="106"/>
      <c r="E32" s="105"/>
      <c r="F32" s="106"/>
      <c r="G32" s="105"/>
      <c r="H32" s="106"/>
      <c r="I32" s="105"/>
      <c r="J32" s="106"/>
      <c r="K32" s="105"/>
      <c r="L32" s="106"/>
      <c r="M32" s="105"/>
      <c r="N32" s="106"/>
      <c r="O32" s="105"/>
      <c r="P32" s="106"/>
      <c r="Q32" s="105"/>
    </row>
    <row r="33" spans="4:17">
      <c r="D33" s="106"/>
      <c r="E33" s="105"/>
      <c r="F33" s="106"/>
      <c r="G33" s="105"/>
      <c r="H33" s="106"/>
      <c r="I33" s="105"/>
      <c r="J33" s="106"/>
      <c r="K33" s="105"/>
      <c r="L33" s="106"/>
      <c r="M33" s="105"/>
      <c r="N33" s="106"/>
      <c r="O33" s="105"/>
      <c r="P33" s="106"/>
      <c r="Q33" s="105"/>
    </row>
    <row r="34" spans="4:17"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</row>
  </sheetData>
  <sortState xmlns:xlrd2="http://schemas.microsoft.com/office/spreadsheetml/2017/richdata2" ref="A19:Z27">
    <sortCondition descending="1" ref="Z19:Z27"/>
  </sortState>
  <mergeCells count="38">
    <mergeCell ref="R2:S3"/>
    <mergeCell ref="X4:X5"/>
    <mergeCell ref="Y4:Y5"/>
    <mergeCell ref="D5:E5"/>
    <mergeCell ref="F5:G5"/>
    <mergeCell ref="H5:I5"/>
    <mergeCell ref="J5:K5"/>
    <mergeCell ref="L5:M5"/>
    <mergeCell ref="N5:O5"/>
    <mergeCell ref="P5:Q5"/>
    <mergeCell ref="V4:W5"/>
    <mergeCell ref="B4:B5"/>
    <mergeCell ref="C4:C5"/>
    <mergeCell ref="D4:Q4"/>
    <mergeCell ref="R4:S5"/>
    <mergeCell ref="T4:U5"/>
    <mergeCell ref="B17:B18"/>
    <mergeCell ref="C17:C18"/>
    <mergeCell ref="D17:Q17"/>
    <mergeCell ref="R17:S18"/>
    <mergeCell ref="T17:U18"/>
    <mergeCell ref="V17:W18"/>
    <mergeCell ref="X17:X18"/>
    <mergeCell ref="Y17:Y18"/>
    <mergeCell ref="D18:E18"/>
    <mergeCell ref="F18:G18"/>
    <mergeCell ref="H18:I18"/>
    <mergeCell ref="J18:K18"/>
    <mergeCell ref="L18:M18"/>
    <mergeCell ref="N18:O18"/>
    <mergeCell ref="P18:Q18"/>
    <mergeCell ref="N31:O31"/>
    <mergeCell ref="P31:Q31"/>
    <mergeCell ref="D31:E31"/>
    <mergeCell ref="F31:G31"/>
    <mergeCell ref="H31:I31"/>
    <mergeCell ref="J31:K31"/>
    <mergeCell ref="L31:M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D9CF6-1273-074A-A8AB-53286527EFB2}">
  <dimension ref="A1:Y35"/>
  <sheetViews>
    <sheetView zoomScaleNormal="100" workbookViewId="0">
      <selection activeCell="H18" activeCellId="1" sqref="H5:I12 H18:I25"/>
    </sheetView>
  </sheetViews>
  <sheetFormatPr baseColWidth="10" defaultRowHeight="16"/>
  <sheetData>
    <row r="1" spans="1:25" ht="17" thickBot="1"/>
    <row r="2" spans="1:25">
      <c r="R2" s="181"/>
      <c r="S2" s="182"/>
    </row>
    <row r="3" spans="1:25" ht="39" customHeight="1" thickBot="1">
      <c r="R3" s="183"/>
      <c r="S3" s="184"/>
    </row>
    <row r="4" spans="1:25" s="2" customFormat="1" ht="25.25" customHeight="1">
      <c r="A4" s="12" t="s">
        <v>18</v>
      </c>
      <c r="B4" s="191" t="s">
        <v>0</v>
      </c>
      <c r="C4" s="193" t="s">
        <v>1</v>
      </c>
      <c r="D4" s="195" t="s">
        <v>2</v>
      </c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7"/>
      <c r="R4" s="198" t="s">
        <v>38</v>
      </c>
      <c r="S4" s="199"/>
      <c r="T4" s="181" t="s">
        <v>4</v>
      </c>
      <c r="U4" s="182"/>
      <c r="V4" s="181" t="s">
        <v>5</v>
      </c>
      <c r="W4" s="182"/>
      <c r="X4" s="186" t="s">
        <v>6</v>
      </c>
      <c r="Y4" s="188" t="s">
        <v>7</v>
      </c>
    </row>
    <row r="5" spans="1:25" s="2" customFormat="1" ht="25.25" customHeight="1" thickBot="1">
      <c r="A5" s="1"/>
      <c r="B5" s="192"/>
      <c r="C5" s="194"/>
      <c r="D5" s="180" t="s">
        <v>8</v>
      </c>
      <c r="E5" s="176"/>
      <c r="F5" s="190" t="s">
        <v>9</v>
      </c>
      <c r="G5" s="176"/>
      <c r="H5" s="175" t="s">
        <v>10</v>
      </c>
      <c r="I5" s="176"/>
      <c r="J5" s="175" t="s">
        <v>11</v>
      </c>
      <c r="K5" s="176"/>
      <c r="L5" s="175" t="s">
        <v>12</v>
      </c>
      <c r="M5" s="176"/>
      <c r="N5" s="175" t="s">
        <v>13</v>
      </c>
      <c r="O5" s="176"/>
      <c r="P5" s="175" t="s">
        <v>14</v>
      </c>
      <c r="Q5" s="179"/>
      <c r="R5" s="200"/>
      <c r="S5" s="201"/>
      <c r="T5" s="183"/>
      <c r="U5" s="184"/>
      <c r="V5" s="183"/>
      <c r="W5" s="184"/>
      <c r="X5" s="187"/>
      <c r="Y5" s="189"/>
    </row>
    <row r="6" spans="1:25" s="2" customFormat="1" ht="15" customHeight="1" thickBot="1">
      <c r="A6" s="1"/>
      <c r="B6" s="3"/>
      <c r="C6" s="4"/>
      <c r="D6" s="5" t="s">
        <v>15</v>
      </c>
      <c r="E6" s="6" t="s">
        <v>16</v>
      </c>
      <c r="F6" s="7" t="s">
        <v>15</v>
      </c>
      <c r="G6" s="6" t="s">
        <v>16</v>
      </c>
      <c r="H6" s="7" t="s">
        <v>15</v>
      </c>
      <c r="I6" s="6" t="s">
        <v>16</v>
      </c>
      <c r="J6" s="7" t="s">
        <v>15</v>
      </c>
      <c r="K6" s="6" t="s">
        <v>16</v>
      </c>
      <c r="L6" s="7" t="s">
        <v>15</v>
      </c>
      <c r="M6" s="6" t="s">
        <v>16</v>
      </c>
      <c r="N6" s="7" t="s">
        <v>15</v>
      </c>
      <c r="O6" s="6" t="s">
        <v>16</v>
      </c>
      <c r="P6" s="7" t="s">
        <v>15</v>
      </c>
      <c r="Q6" s="8" t="s">
        <v>16</v>
      </c>
      <c r="R6" s="5" t="s">
        <v>15</v>
      </c>
      <c r="S6" s="9" t="s">
        <v>17</v>
      </c>
      <c r="T6" s="5" t="s">
        <v>15</v>
      </c>
      <c r="U6" s="9" t="s">
        <v>17</v>
      </c>
      <c r="V6" s="7" t="s">
        <v>15</v>
      </c>
      <c r="W6" s="9" t="s">
        <v>17</v>
      </c>
      <c r="X6" s="10"/>
      <c r="Y6" s="11"/>
    </row>
    <row r="7" spans="1:25" ht="18" thickTop="1" thickBot="1">
      <c r="A7" t="s">
        <v>35</v>
      </c>
      <c r="B7" t="s">
        <v>36</v>
      </c>
      <c r="C7" s="53">
        <v>16849</v>
      </c>
      <c r="D7" s="53">
        <v>49</v>
      </c>
      <c r="E7">
        <v>0.3</v>
      </c>
      <c r="F7" s="53">
        <v>119</v>
      </c>
      <c r="G7" s="123">
        <v>0.7</v>
      </c>
      <c r="H7" s="53">
        <v>2946</v>
      </c>
      <c r="I7" s="124">
        <v>17.5</v>
      </c>
      <c r="J7" s="53">
        <v>9604</v>
      </c>
      <c r="K7" s="124">
        <v>57</v>
      </c>
      <c r="L7" s="53">
        <v>5385</v>
      </c>
      <c r="M7" s="15">
        <v>32</v>
      </c>
      <c r="N7" s="13"/>
      <c r="O7" s="96"/>
      <c r="P7" s="14"/>
      <c r="Q7" s="15"/>
      <c r="R7" s="53">
        <v>16849</v>
      </c>
      <c r="S7" s="130">
        <v>100</v>
      </c>
      <c r="T7" t="s">
        <v>37</v>
      </c>
      <c r="V7" s="53">
        <v>437</v>
      </c>
      <c r="W7" s="15"/>
    </row>
    <row r="8" spans="1:25" ht="17" thickTop="1">
      <c r="A8" t="s">
        <v>30</v>
      </c>
      <c r="B8" t="s">
        <v>36</v>
      </c>
      <c r="C8" s="29">
        <v>40976</v>
      </c>
      <c r="D8" s="30">
        <v>119</v>
      </c>
      <c r="E8" s="32">
        <v>9.7492237487813493E-2</v>
      </c>
      <c r="F8" s="33">
        <v>212</v>
      </c>
      <c r="G8" s="32">
        <v>0.17368364997829</v>
      </c>
      <c r="H8" s="30">
        <v>7835</v>
      </c>
      <c r="I8" s="32">
        <v>6.4189216866976304</v>
      </c>
      <c r="J8" s="33">
        <v>22351</v>
      </c>
      <c r="K8" s="32">
        <v>18.3113361352111</v>
      </c>
      <c r="L8" s="30">
        <v>9140</v>
      </c>
      <c r="M8" s="32">
        <v>7.4880592490639897</v>
      </c>
      <c r="N8" s="33">
        <v>16</v>
      </c>
      <c r="O8" s="32">
        <v>1.31081999983615E-2</v>
      </c>
      <c r="P8" s="34">
        <v>1105</v>
      </c>
      <c r="Q8" s="31">
        <v>0.90528506238683903</v>
      </c>
      <c r="R8" s="33">
        <v>40778</v>
      </c>
      <c r="S8" s="35">
        <v>99.5</v>
      </c>
      <c r="T8" s="30">
        <v>198</v>
      </c>
      <c r="U8" s="31">
        <v>0.5</v>
      </c>
      <c r="V8" s="30">
        <v>1466</v>
      </c>
      <c r="W8" s="31">
        <v>1.19322806446362</v>
      </c>
      <c r="X8" s="36">
        <v>4221</v>
      </c>
      <c r="Y8" s="37">
        <v>100</v>
      </c>
    </row>
    <row r="9" spans="1:25">
      <c r="A9" t="s">
        <v>29</v>
      </c>
      <c r="B9" t="s">
        <v>36</v>
      </c>
      <c r="C9" s="29">
        <v>44870</v>
      </c>
      <c r="D9" s="30">
        <v>90</v>
      </c>
      <c r="E9" s="32">
        <v>0.2</v>
      </c>
      <c r="F9" s="33">
        <v>158</v>
      </c>
      <c r="G9" s="32">
        <v>0.4</v>
      </c>
      <c r="H9" s="30">
        <v>7914</v>
      </c>
      <c r="I9" s="32">
        <v>17.899999999999999</v>
      </c>
      <c r="J9" s="33">
        <v>27675</v>
      </c>
      <c r="K9" s="32">
        <v>62.6</v>
      </c>
      <c r="L9" s="30">
        <v>7225</v>
      </c>
      <c r="M9" s="32">
        <v>16.3</v>
      </c>
      <c r="N9" s="33">
        <v>26</v>
      </c>
      <c r="O9" s="32">
        <v>0.1</v>
      </c>
      <c r="P9" s="34">
        <v>1123</v>
      </c>
      <c r="Q9" s="31">
        <v>2.5</v>
      </c>
      <c r="R9" s="33">
        <v>44211</v>
      </c>
      <c r="S9" s="35">
        <v>98.5</v>
      </c>
      <c r="T9" s="30">
        <v>659</v>
      </c>
      <c r="U9" s="31">
        <v>1.5</v>
      </c>
      <c r="V9" s="30">
        <v>1308</v>
      </c>
      <c r="W9" s="31">
        <v>2.9</v>
      </c>
      <c r="X9" s="39">
        <v>4134</v>
      </c>
      <c r="Y9" s="37">
        <v>100</v>
      </c>
    </row>
    <row r="10" spans="1:25">
      <c r="A10" t="s">
        <v>20</v>
      </c>
      <c r="B10" t="s">
        <v>36</v>
      </c>
      <c r="C10" s="18">
        <v>27176</v>
      </c>
      <c r="D10" s="19">
        <v>62</v>
      </c>
      <c r="E10" s="20">
        <v>0.23200000000000001</v>
      </c>
      <c r="F10" s="21">
        <v>139</v>
      </c>
      <c r="G10" s="20">
        <v>0.5202</v>
      </c>
      <c r="H10" s="22">
        <v>4811</v>
      </c>
      <c r="I10" s="20">
        <v>18.0032</v>
      </c>
      <c r="J10" s="21">
        <v>15113</v>
      </c>
      <c r="K10" s="20">
        <v>56.554299999999998</v>
      </c>
      <c r="L10" s="22">
        <v>5586</v>
      </c>
      <c r="M10" s="20">
        <v>20.903300000000002</v>
      </c>
      <c r="N10" s="21">
        <v>21</v>
      </c>
      <c r="O10" s="20">
        <v>7.8600000000000003E-2</v>
      </c>
      <c r="P10" s="23">
        <v>991</v>
      </c>
      <c r="Q10" s="24">
        <v>3.7084000000000001</v>
      </c>
      <c r="R10" s="97">
        <v>26723</v>
      </c>
      <c r="S10" s="62">
        <v>98.3</v>
      </c>
      <c r="T10" s="19">
        <v>453</v>
      </c>
      <c r="U10" s="24">
        <v>1.6669099999999999</v>
      </c>
      <c r="V10" s="19">
        <v>940</v>
      </c>
      <c r="W10" s="25">
        <v>3.4588999999999999</v>
      </c>
      <c r="X10" s="27">
        <v>4081</v>
      </c>
      <c r="Y10" s="28">
        <v>99.706000000000003</v>
      </c>
    </row>
    <row r="11" spans="1:25">
      <c r="A11" t="s">
        <v>19</v>
      </c>
      <c r="B11" t="s">
        <v>36</v>
      </c>
      <c r="C11" s="26">
        <v>22994</v>
      </c>
      <c r="D11" s="19">
        <v>51</v>
      </c>
      <c r="E11" s="20">
        <v>0.22700000000000001</v>
      </c>
      <c r="F11" s="21">
        <v>96</v>
      </c>
      <c r="G11" s="20">
        <v>0.4274</v>
      </c>
      <c r="H11" s="22">
        <v>4032</v>
      </c>
      <c r="I11" s="20">
        <v>17.95</v>
      </c>
      <c r="J11" s="21">
        <v>12431</v>
      </c>
      <c r="K11" s="20">
        <v>55.3399</v>
      </c>
      <c r="L11" s="22">
        <v>4790</v>
      </c>
      <c r="M11" s="20">
        <v>21.324000000000002</v>
      </c>
      <c r="N11" s="21">
        <v>9</v>
      </c>
      <c r="O11" s="20">
        <v>0</v>
      </c>
      <c r="P11" s="23">
        <v>1054</v>
      </c>
      <c r="Q11" s="24">
        <v>4.6921999999999997</v>
      </c>
      <c r="R11" s="97">
        <v>22463</v>
      </c>
      <c r="S11" s="24">
        <v>97.7</v>
      </c>
      <c r="T11" s="19">
        <v>531</v>
      </c>
      <c r="U11" s="24">
        <v>2.3092999999999999</v>
      </c>
      <c r="V11" s="19">
        <v>957</v>
      </c>
      <c r="W11" s="25">
        <v>4.1619999999999999</v>
      </c>
      <c r="X11" s="27">
        <v>4145</v>
      </c>
      <c r="Y11" s="28">
        <v>100</v>
      </c>
    </row>
    <row r="12" spans="1:25">
      <c r="A12" t="s">
        <v>34</v>
      </c>
      <c r="B12" t="s">
        <v>36</v>
      </c>
      <c r="C12">
        <v>2646</v>
      </c>
      <c r="D12">
        <v>5</v>
      </c>
      <c r="E12">
        <v>0.2</v>
      </c>
      <c r="F12">
        <v>15</v>
      </c>
      <c r="G12">
        <v>0.6</v>
      </c>
      <c r="H12">
        <v>330</v>
      </c>
      <c r="I12">
        <v>12.5</v>
      </c>
      <c r="J12">
        <v>562</v>
      </c>
      <c r="K12">
        <v>21.3</v>
      </c>
      <c r="L12">
        <v>1476</v>
      </c>
      <c r="M12">
        <v>55.8</v>
      </c>
      <c r="N12">
        <v>1</v>
      </c>
      <c r="O12" s="25">
        <v>0</v>
      </c>
      <c r="P12">
        <v>196</v>
      </c>
      <c r="Q12">
        <v>7.4</v>
      </c>
      <c r="R12">
        <v>2595</v>
      </c>
      <c r="S12">
        <v>98.1</v>
      </c>
      <c r="T12" s="50">
        <v>51</v>
      </c>
      <c r="U12">
        <v>1.9</v>
      </c>
      <c r="V12">
        <v>94</v>
      </c>
      <c r="W12">
        <v>3.6</v>
      </c>
      <c r="X12" s="50">
        <v>3387</v>
      </c>
      <c r="Y12" s="51">
        <v>83.26</v>
      </c>
    </row>
    <row r="14" spans="1:25">
      <c r="R14" s="19"/>
      <c r="S14" s="24"/>
    </row>
    <row r="15" spans="1:25">
      <c r="R15" s="19"/>
      <c r="S15" s="24"/>
    </row>
    <row r="16" spans="1:25" ht="17" thickBot="1"/>
    <row r="17" spans="1:25" s="2" customFormat="1" ht="25.25" customHeight="1">
      <c r="A17" s="12" t="s">
        <v>18</v>
      </c>
      <c r="B17" s="191" t="s">
        <v>0</v>
      </c>
      <c r="C17" s="193" t="s">
        <v>1</v>
      </c>
      <c r="D17" s="195" t="s">
        <v>2</v>
      </c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  <c r="Q17" s="197"/>
      <c r="R17" s="198" t="s">
        <v>38</v>
      </c>
      <c r="S17" s="199"/>
      <c r="T17" s="181" t="s">
        <v>4</v>
      </c>
      <c r="U17" s="182"/>
      <c r="V17" s="181" t="s">
        <v>5</v>
      </c>
      <c r="W17" s="182"/>
      <c r="X17" s="186" t="s">
        <v>6</v>
      </c>
      <c r="Y17" s="188" t="s">
        <v>7</v>
      </c>
    </row>
    <row r="18" spans="1:25" s="2" customFormat="1" ht="25.25" customHeight="1" thickBot="1">
      <c r="A18" s="1"/>
      <c r="B18" s="192"/>
      <c r="C18" s="194"/>
      <c r="D18" s="180" t="s">
        <v>8</v>
      </c>
      <c r="E18" s="176"/>
      <c r="F18" s="190" t="s">
        <v>9</v>
      </c>
      <c r="G18" s="176"/>
      <c r="H18" s="175" t="s">
        <v>10</v>
      </c>
      <c r="I18" s="176"/>
      <c r="J18" s="175" t="s">
        <v>11</v>
      </c>
      <c r="K18" s="176"/>
      <c r="L18" s="175" t="s">
        <v>12</v>
      </c>
      <c r="M18" s="176"/>
      <c r="N18" s="175" t="s">
        <v>13</v>
      </c>
      <c r="O18" s="176"/>
      <c r="P18" s="175" t="s">
        <v>14</v>
      </c>
      <c r="Q18" s="179"/>
      <c r="R18" s="200"/>
      <c r="S18" s="201"/>
      <c r="T18" s="183"/>
      <c r="U18" s="184"/>
      <c r="V18" s="183"/>
      <c r="W18" s="184"/>
      <c r="X18" s="187"/>
      <c r="Y18" s="189"/>
    </row>
    <row r="19" spans="1:25" s="2" customFormat="1" ht="15" customHeight="1" thickBot="1">
      <c r="A19" s="1"/>
      <c r="B19" s="3"/>
      <c r="C19" s="4"/>
      <c r="D19" s="5" t="s">
        <v>15</v>
      </c>
      <c r="E19" s="6" t="s">
        <v>16</v>
      </c>
      <c r="F19" s="7" t="s">
        <v>15</v>
      </c>
      <c r="G19" s="6" t="s">
        <v>16</v>
      </c>
      <c r="H19" s="7" t="s">
        <v>15</v>
      </c>
      <c r="I19" s="6" t="s">
        <v>16</v>
      </c>
      <c r="J19" s="7" t="s">
        <v>15</v>
      </c>
      <c r="K19" s="6" t="s">
        <v>16</v>
      </c>
      <c r="L19" s="7" t="s">
        <v>15</v>
      </c>
      <c r="M19" s="6" t="s">
        <v>16</v>
      </c>
      <c r="N19" s="7" t="s">
        <v>15</v>
      </c>
      <c r="O19" s="6" t="s">
        <v>16</v>
      </c>
      <c r="P19" s="7" t="s">
        <v>15</v>
      </c>
      <c r="Q19" s="8" t="s">
        <v>16</v>
      </c>
      <c r="R19" s="5" t="s">
        <v>15</v>
      </c>
      <c r="S19" s="9" t="s">
        <v>17</v>
      </c>
      <c r="T19" s="5" t="s">
        <v>15</v>
      </c>
      <c r="U19" s="9" t="s">
        <v>17</v>
      </c>
      <c r="V19" s="7" t="s">
        <v>15</v>
      </c>
      <c r="W19" s="9" t="s">
        <v>17</v>
      </c>
      <c r="X19" s="10"/>
      <c r="Y19" s="11"/>
    </row>
    <row r="20" spans="1:25" ht="18" thickTop="1" thickBot="1">
      <c r="A20" t="s">
        <v>35</v>
      </c>
      <c r="B20" t="s">
        <v>39</v>
      </c>
      <c r="C20" s="54">
        <v>417323</v>
      </c>
      <c r="D20" s="54">
        <v>12777</v>
      </c>
      <c r="E20">
        <v>3.1</v>
      </c>
      <c r="F20" s="54">
        <v>8443</v>
      </c>
      <c r="G20" s="126">
        <v>2</v>
      </c>
      <c r="H20" s="54">
        <v>84627</v>
      </c>
      <c r="I20" s="127">
        <v>20.3</v>
      </c>
      <c r="J20" s="54">
        <v>213851</v>
      </c>
      <c r="K20" s="127">
        <v>51.2</v>
      </c>
      <c r="L20" s="54">
        <v>127049</v>
      </c>
      <c r="M20" s="127">
        <v>30.4</v>
      </c>
      <c r="R20" s="56">
        <v>414948</v>
      </c>
      <c r="T20" s="54">
        <v>2375</v>
      </c>
      <c r="V20" s="54">
        <v>25336</v>
      </c>
    </row>
    <row r="21" spans="1:25" ht="17" thickTop="1">
      <c r="A21" t="s">
        <v>30</v>
      </c>
      <c r="B21" t="s">
        <v>39</v>
      </c>
      <c r="C21" s="33">
        <v>956795</v>
      </c>
      <c r="D21" s="33">
        <v>14160</v>
      </c>
      <c r="E21" s="35">
        <v>0.45076965097822702</v>
      </c>
      <c r="F21" s="33">
        <v>7481</v>
      </c>
      <c r="G21" s="35">
        <v>0.23815026546385001</v>
      </c>
      <c r="H21" s="33">
        <v>200952</v>
      </c>
      <c r="I21" s="35">
        <v>6.3971089621028803</v>
      </c>
      <c r="J21" s="33">
        <v>424319</v>
      </c>
      <c r="K21" s="35">
        <v>13.507777368180101</v>
      </c>
      <c r="L21" s="33">
        <v>276267</v>
      </c>
      <c r="M21" s="35">
        <v>8.7946877942656805</v>
      </c>
      <c r="N21" s="33">
        <v>2327</v>
      </c>
      <c r="O21" s="35">
        <v>7.4077752671351402E-2</v>
      </c>
      <c r="P21" s="33">
        <v>24424</v>
      </c>
      <c r="Q21" s="35">
        <v>0.77751397990764304</v>
      </c>
      <c r="R21" s="33">
        <v>949930</v>
      </c>
      <c r="S21" s="35">
        <v>29.943547525330199</v>
      </c>
      <c r="T21" s="33">
        <v>6865</v>
      </c>
      <c r="U21" s="35">
        <v>0.21639747535227999</v>
      </c>
      <c r="V21" s="33">
        <v>48804</v>
      </c>
      <c r="W21" s="35">
        <v>1.5383921903995199</v>
      </c>
      <c r="X21" s="95">
        <v>95635</v>
      </c>
      <c r="Y21" s="63">
        <v>99.789825900559407</v>
      </c>
    </row>
    <row r="22" spans="1:25" ht="17" thickBot="1">
      <c r="A22" t="s">
        <v>29</v>
      </c>
      <c r="B22" t="s">
        <v>39</v>
      </c>
      <c r="C22" s="33">
        <v>775741</v>
      </c>
      <c r="D22" s="33">
        <v>11171</v>
      </c>
      <c r="E22" s="35">
        <v>1.5</v>
      </c>
      <c r="F22" s="33">
        <v>5592</v>
      </c>
      <c r="G22" s="35">
        <v>0.7</v>
      </c>
      <c r="H22" s="33">
        <v>157421</v>
      </c>
      <c r="I22" s="35">
        <v>20.6</v>
      </c>
      <c r="J22" s="33">
        <v>358909</v>
      </c>
      <c r="K22" s="35">
        <v>46.9</v>
      </c>
      <c r="L22" s="33">
        <v>206650</v>
      </c>
      <c r="M22" s="35">
        <v>27</v>
      </c>
      <c r="N22" s="33">
        <v>2854</v>
      </c>
      <c r="O22" s="35">
        <v>0.4</v>
      </c>
      <c r="P22" s="33">
        <v>23012</v>
      </c>
      <c r="Q22" s="35">
        <v>3</v>
      </c>
      <c r="R22" s="33">
        <v>765609</v>
      </c>
      <c r="S22" s="35">
        <v>98.7</v>
      </c>
      <c r="T22" s="33">
        <v>10132</v>
      </c>
      <c r="U22" s="35">
        <v>1.3</v>
      </c>
      <c r="V22" s="33">
        <v>42580</v>
      </c>
      <c r="W22" s="35">
        <v>5.5</v>
      </c>
      <c r="X22" s="71">
        <v>95507</v>
      </c>
      <c r="Y22" s="63">
        <v>99.9</v>
      </c>
    </row>
    <row r="23" spans="1:25" ht="17" thickBot="1">
      <c r="A23" t="s">
        <v>20</v>
      </c>
      <c r="B23" t="s">
        <v>39</v>
      </c>
      <c r="C23" s="18">
        <v>756914</v>
      </c>
      <c r="D23" s="26">
        <v>11036</v>
      </c>
      <c r="E23" s="20">
        <v>1.4894000000000001</v>
      </c>
      <c r="F23" s="21">
        <v>5163</v>
      </c>
      <c r="G23" s="20">
        <v>0.69679999999999997</v>
      </c>
      <c r="H23" s="26">
        <v>153700</v>
      </c>
      <c r="I23" s="20">
        <v>20.7437</v>
      </c>
      <c r="J23" s="21">
        <v>350839</v>
      </c>
      <c r="K23" s="20">
        <v>47.35</v>
      </c>
      <c r="L23" s="26">
        <v>190945</v>
      </c>
      <c r="M23" s="20">
        <v>25.770399999999999</v>
      </c>
      <c r="N23" s="21">
        <v>2595</v>
      </c>
      <c r="O23" s="20">
        <v>0.35020000000000001</v>
      </c>
      <c r="P23" s="57">
        <v>26670</v>
      </c>
      <c r="Q23" s="24">
        <v>3.5994000000000002</v>
      </c>
      <c r="R23" s="58">
        <v>740948</v>
      </c>
      <c r="S23" s="24"/>
      <c r="T23" s="26">
        <v>15966</v>
      </c>
      <c r="U23" s="24"/>
      <c r="V23" s="58">
        <v>42322</v>
      </c>
      <c r="W23" s="24">
        <v>5.5914000000000001</v>
      </c>
      <c r="X23" s="27">
        <v>96360</v>
      </c>
      <c r="Y23" s="28">
        <v>99.975999999999999</v>
      </c>
    </row>
    <row r="24" spans="1:25" ht="17" thickBot="1">
      <c r="A24" t="s">
        <v>19</v>
      </c>
      <c r="B24" t="s">
        <v>39</v>
      </c>
      <c r="C24" s="18">
        <v>739388</v>
      </c>
      <c r="D24" s="26">
        <v>10619</v>
      </c>
      <c r="E24" s="20">
        <v>1.4765999999999999</v>
      </c>
      <c r="F24" s="21">
        <v>5688</v>
      </c>
      <c r="G24" s="20">
        <v>0.79090000000000005</v>
      </c>
      <c r="H24" s="26">
        <v>155476</v>
      </c>
      <c r="I24" s="20">
        <v>21.619</v>
      </c>
      <c r="J24" s="21">
        <v>322058</v>
      </c>
      <c r="K24" s="20">
        <v>44.783000000000001</v>
      </c>
      <c r="L24" s="26">
        <v>191493</v>
      </c>
      <c r="M24" s="20">
        <v>26.627600000000001</v>
      </c>
      <c r="N24" s="21">
        <v>2964</v>
      </c>
      <c r="O24" s="20">
        <v>0.41220000000000001</v>
      </c>
      <c r="P24" s="57">
        <v>30854</v>
      </c>
      <c r="Q24" s="24">
        <v>4.2903000000000002</v>
      </c>
      <c r="R24" s="58">
        <v>719152</v>
      </c>
      <c r="S24" s="24"/>
      <c r="T24" s="26">
        <v>20236</v>
      </c>
      <c r="U24" s="24"/>
      <c r="V24" s="58">
        <v>45092</v>
      </c>
      <c r="W24" s="24">
        <v>6.0986000000000002</v>
      </c>
      <c r="X24" s="27">
        <v>97632</v>
      </c>
      <c r="Y24" s="28">
        <v>99.986000000000004</v>
      </c>
    </row>
    <row r="25" spans="1:25">
      <c r="A25" t="s">
        <v>34</v>
      </c>
      <c r="B25" t="s">
        <v>39</v>
      </c>
      <c r="C25" s="118">
        <v>46750</v>
      </c>
      <c r="D25" s="117">
        <v>674</v>
      </c>
      <c r="E25" s="60">
        <v>1.4</v>
      </c>
      <c r="F25" s="117">
        <v>195</v>
      </c>
      <c r="G25" s="60">
        <v>0.4</v>
      </c>
      <c r="H25" s="117">
        <v>6418</v>
      </c>
      <c r="I25" s="60">
        <v>13.7</v>
      </c>
      <c r="J25" s="117">
        <v>15193</v>
      </c>
      <c r="K25" s="60">
        <v>32.5</v>
      </c>
      <c r="L25" s="117">
        <v>19574</v>
      </c>
      <c r="M25" s="60">
        <v>41.9</v>
      </c>
      <c r="N25" s="117">
        <v>73</v>
      </c>
      <c r="O25" s="60">
        <v>0.2</v>
      </c>
      <c r="P25" s="117">
        <v>2836</v>
      </c>
      <c r="Q25" s="62">
        <v>6.1</v>
      </c>
      <c r="R25" s="70"/>
      <c r="S25" s="62"/>
      <c r="T25" s="50">
        <v>1787</v>
      </c>
      <c r="U25" s="62"/>
      <c r="V25" s="119">
        <v>1787</v>
      </c>
      <c r="X25" s="50">
        <v>84829</v>
      </c>
      <c r="Y25" s="51">
        <v>88.74</v>
      </c>
    </row>
    <row r="26" spans="1:25">
      <c r="C26" s="50"/>
      <c r="D26" s="50"/>
      <c r="E26" s="60"/>
      <c r="G26" s="60"/>
      <c r="I26" s="60"/>
      <c r="K26" s="60"/>
      <c r="M26" s="60"/>
      <c r="O26" s="60"/>
      <c r="P26" s="61"/>
      <c r="Q26" s="62"/>
      <c r="R26" s="59"/>
      <c r="S26" s="62"/>
      <c r="T26" s="59"/>
      <c r="U26" s="62"/>
      <c r="V26" s="59"/>
      <c r="X26" s="66"/>
      <c r="Y26" s="61"/>
    </row>
    <row r="27" spans="1:25" ht="17" thickBot="1">
      <c r="C27" s="50"/>
      <c r="D27" s="50"/>
    </row>
    <row r="28" spans="1:25" ht="18" thickTop="1" thickBot="1">
      <c r="D28" s="108"/>
      <c r="E28" s="108"/>
      <c r="F28" s="108"/>
      <c r="G28" s="108"/>
      <c r="H28" s="108"/>
      <c r="I28" s="108"/>
      <c r="J28" s="108"/>
      <c r="K28" s="108"/>
      <c r="L28" s="109"/>
      <c r="O28" s="108"/>
      <c r="P28" s="108"/>
      <c r="Q28" s="108"/>
      <c r="R28" s="108"/>
      <c r="S28" s="108"/>
      <c r="T28" s="108"/>
      <c r="U28" s="108"/>
      <c r="V28" s="108"/>
      <c r="W28" s="109"/>
    </row>
    <row r="29" spans="1:25" ht="18" thickTop="1" thickBot="1">
      <c r="C29" s="110"/>
      <c r="D29" s="54"/>
      <c r="E29" s="54"/>
      <c r="F29" s="54"/>
      <c r="G29" s="54"/>
      <c r="H29" s="54"/>
      <c r="I29" s="54"/>
      <c r="J29" s="54"/>
      <c r="K29" s="54"/>
      <c r="L29" s="54"/>
      <c r="N29" s="110"/>
      <c r="O29" s="53"/>
      <c r="P29" s="53"/>
      <c r="Q29" s="53"/>
      <c r="R29" s="53"/>
      <c r="S29" s="53"/>
      <c r="T29" s="53"/>
      <c r="U29" s="53"/>
      <c r="V29" s="53"/>
      <c r="W29" s="53"/>
    </row>
    <row r="30" spans="1:25" ht="18" thickTop="1" thickBot="1">
      <c r="C30" s="110"/>
      <c r="D30" s="54"/>
      <c r="E30" s="54"/>
      <c r="F30" s="54"/>
      <c r="G30" s="54"/>
      <c r="H30" s="54"/>
      <c r="I30" s="54"/>
      <c r="J30" s="54"/>
      <c r="K30" s="54"/>
      <c r="L30" s="54"/>
      <c r="N30" s="110"/>
      <c r="O30" s="53"/>
      <c r="P30" s="53"/>
      <c r="Q30" s="53"/>
      <c r="R30" s="53"/>
      <c r="S30" s="53"/>
      <c r="T30" s="53"/>
      <c r="U30" s="53"/>
      <c r="V30" s="53"/>
      <c r="W30" s="53"/>
    </row>
    <row r="31" spans="1:25" ht="17" thickTop="1"/>
    <row r="32" spans="1:25">
      <c r="D32" s="180"/>
      <c r="E32" s="176"/>
      <c r="F32" s="190"/>
      <c r="G32" s="176"/>
      <c r="H32" s="175"/>
      <c r="I32" s="176"/>
      <c r="J32" s="175"/>
      <c r="K32" s="176"/>
      <c r="L32" s="175"/>
      <c r="M32" s="176"/>
      <c r="N32" s="175"/>
      <c r="O32" s="176"/>
      <c r="P32" s="175"/>
      <c r="Q32" s="179"/>
    </row>
    <row r="33" spans="4:17">
      <c r="D33" s="50"/>
      <c r="E33" s="51"/>
      <c r="F33" s="50"/>
      <c r="G33" s="51"/>
      <c r="H33" s="50"/>
      <c r="I33" s="51"/>
      <c r="J33" s="50"/>
      <c r="K33" s="51"/>
      <c r="L33" s="50"/>
      <c r="M33" s="51"/>
      <c r="N33" s="50"/>
      <c r="O33" s="51"/>
      <c r="P33" s="50"/>
      <c r="Q33" s="51"/>
    </row>
    <row r="34" spans="4:17">
      <c r="D34" s="50"/>
      <c r="E34" s="51"/>
      <c r="F34" s="50"/>
      <c r="G34" s="51"/>
      <c r="H34" s="50"/>
      <c r="I34" s="51"/>
      <c r="J34" s="50"/>
      <c r="K34" s="51"/>
      <c r="L34" s="50"/>
      <c r="M34" s="51"/>
      <c r="N34" s="50"/>
      <c r="O34" s="51"/>
      <c r="P34" s="50"/>
      <c r="Q34" s="51"/>
    </row>
    <row r="35" spans="4:17"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</row>
  </sheetData>
  <sortState xmlns:xlrd2="http://schemas.microsoft.com/office/spreadsheetml/2017/richdata2" ref="A6:Z12">
    <sortCondition descending="1" ref="Z6:Z12"/>
  </sortState>
  <mergeCells count="38">
    <mergeCell ref="R2:S3"/>
    <mergeCell ref="X4:X5"/>
    <mergeCell ref="Y4:Y5"/>
    <mergeCell ref="D5:E5"/>
    <mergeCell ref="F5:G5"/>
    <mergeCell ref="H5:I5"/>
    <mergeCell ref="J5:K5"/>
    <mergeCell ref="L5:M5"/>
    <mergeCell ref="N5:O5"/>
    <mergeCell ref="P5:Q5"/>
    <mergeCell ref="V4:W5"/>
    <mergeCell ref="B4:B5"/>
    <mergeCell ref="C4:C5"/>
    <mergeCell ref="D4:Q4"/>
    <mergeCell ref="R4:S5"/>
    <mergeCell ref="T4:U5"/>
    <mergeCell ref="B17:B18"/>
    <mergeCell ref="C17:C18"/>
    <mergeCell ref="D17:Q17"/>
    <mergeCell ref="R17:S18"/>
    <mergeCell ref="T17:U18"/>
    <mergeCell ref="V17:W18"/>
    <mergeCell ref="X17:X18"/>
    <mergeCell ref="Y17:Y18"/>
    <mergeCell ref="D18:E18"/>
    <mergeCell ref="F18:G18"/>
    <mergeCell ref="H18:I18"/>
    <mergeCell ref="J18:K18"/>
    <mergeCell ref="L18:M18"/>
    <mergeCell ref="N18:O18"/>
    <mergeCell ref="P18:Q18"/>
    <mergeCell ref="N32:O32"/>
    <mergeCell ref="P32:Q32"/>
    <mergeCell ref="D32:E32"/>
    <mergeCell ref="F32:G32"/>
    <mergeCell ref="H32:I32"/>
    <mergeCell ref="J32:K32"/>
    <mergeCell ref="L32:M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1800-CAC0-3741-BEA6-8A6A8C4CD463}">
  <dimension ref="A3:Y37"/>
  <sheetViews>
    <sheetView zoomScaleNormal="100" workbookViewId="0">
      <selection activeCell="L18" activeCellId="1" sqref="L5:M12 L18:M25"/>
    </sheetView>
  </sheetViews>
  <sheetFormatPr baseColWidth="10" defaultRowHeight="16"/>
  <sheetData>
    <row r="3" spans="1:25" ht="17" thickBot="1"/>
    <row r="4" spans="1:25" s="2" customFormat="1" ht="25" customHeight="1">
      <c r="A4" s="1"/>
      <c r="B4" s="191" t="s">
        <v>0</v>
      </c>
      <c r="C4" s="193" t="s">
        <v>21</v>
      </c>
      <c r="D4" s="181" t="s">
        <v>4</v>
      </c>
      <c r="E4" s="182"/>
      <c r="F4" s="181" t="s">
        <v>3</v>
      </c>
      <c r="G4" s="182"/>
      <c r="H4" s="195" t="s">
        <v>22</v>
      </c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7"/>
      <c r="V4" s="181" t="s">
        <v>23</v>
      </c>
      <c r="W4" s="182"/>
      <c r="X4" s="186" t="s">
        <v>6</v>
      </c>
      <c r="Y4" s="188" t="s">
        <v>7</v>
      </c>
    </row>
    <row r="5" spans="1:25" s="2" customFormat="1" ht="25" customHeight="1">
      <c r="A5" s="1"/>
      <c r="B5" s="192"/>
      <c r="C5" s="194"/>
      <c r="D5" s="183"/>
      <c r="E5" s="184"/>
      <c r="F5" s="183"/>
      <c r="G5" s="184"/>
      <c r="H5" s="180" t="s">
        <v>8</v>
      </c>
      <c r="I5" s="176"/>
      <c r="J5" s="190" t="s">
        <v>9</v>
      </c>
      <c r="K5" s="176"/>
      <c r="L5" s="175" t="s">
        <v>10</v>
      </c>
      <c r="M5" s="176"/>
      <c r="N5" s="175" t="s">
        <v>11</v>
      </c>
      <c r="O5" s="176"/>
      <c r="P5" s="175" t="s">
        <v>12</v>
      </c>
      <c r="Q5" s="176"/>
      <c r="R5" s="175" t="s">
        <v>13</v>
      </c>
      <c r="S5" s="176"/>
      <c r="T5" s="175" t="s">
        <v>14</v>
      </c>
      <c r="U5" s="179"/>
      <c r="V5" s="183"/>
      <c r="W5" s="184"/>
      <c r="X5" s="187"/>
      <c r="Y5" s="189"/>
    </row>
    <row r="6" spans="1:25" s="2" customFormat="1" ht="15" customHeight="1" thickBot="1">
      <c r="A6" s="1"/>
      <c r="B6" s="3"/>
      <c r="C6" s="4"/>
      <c r="D6" s="5" t="s">
        <v>15</v>
      </c>
      <c r="E6" s="9" t="s">
        <v>17</v>
      </c>
      <c r="F6" s="5" t="s">
        <v>15</v>
      </c>
      <c r="G6" s="9" t="s">
        <v>17</v>
      </c>
      <c r="H6" s="5" t="s">
        <v>15</v>
      </c>
      <c r="I6" s="6" t="s">
        <v>16</v>
      </c>
      <c r="J6" s="7" t="s">
        <v>15</v>
      </c>
      <c r="K6" s="6" t="s">
        <v>16</v>
      </c>
      <c r="L6" s="7" t="s">
        <v>15</v>
      </c>
      <c r="M6" s="6" t="s">
        <v>16</v>
      </c>
      <c r="N6" s="7" t="s">
        <v>15</v>
      </c>
      <c r="O6" s="6" t="s">
        <v>16</v>
      </c>
      <c r="P6" s="7" t="s">
        <v>15</v>
      </c>
      <c r="Q6" s="6" t="s">
        <v>16</v>
      </c>
      <c r="R6" s="7" t="s">
        <v>15</v>
      </c>
      <c r="S6" s="6" t="s">
        <v>16</v>
      </c>
      <c r="T6" s="7" t="s">
        <v>15</v>
      </c>
      <c r="U6" s="8" t="s">
        <v>16</v>
      </c>
      <c r="V6" s="7" t="s">
        <v>15</v>
      </c>
      <c r="W6" s="9" t="s">
        <v>17</v>
      </c>
      <c r="X6" s="10"/>
      <c r="Y6" s="11"/>
    </row>
    <row r="7" spans="1:25" ht="18" thickTop="1" thickBot="1">
      <c r="A7" t="s">
        <v>35</v>
      </c>
      <c r="B7" t="s">
        <v>36</v>
      </c>
      <c r="C7" s="56">
        <v>14435</v>
      </c>
      <c r="D7" s="116">
        <v>122</v>
      </c>
      <c r="E7" s="15">
        <v>0.9</v>
      </c>
      <c r="F7" s="113">
        <v>14313</v>
      </c>
      <c r="G7" s="15">
        <v>99.1</v>
      </c>
      <c r="H7" s="114">
        <v>45</v>
      </c>
      <c r="I7" s="15">
        <v>0.3</v>
      </c>
      <c r="J7" s="114">
        <v>81</v>
      </c>
      <c r="K7" s="15">
        <v>0.6</v>
      </c>
      <c r="L7" s="113">
        <v>2402</v>
      </c>
      <c r="M7" s="15">
        <v>16.600000000000001</v>
      </c>
      <c r="N7" s="113">
        <v>6598</v>
      </c>
      <c r="O7" s="15">
        <v>45.7</v>
      </c>
      <c r="P7" s="113">
        <v>6304</v>
      </c>
      <c r="Q7" s="15">
        <v>43.7</v>
      </c>
      <c r="R7" s="14"/>
      <c r="S7" s="15"/>
      <c r="T7" s="13"/>
      <c r="U7" s="15"/>
      <c r="V7" s="114">
        <v>298</v>
      </c>
      <c r="W7" s="15">
        <v>2.1</v>
      </c>
    </row>
    <row r="8" spans="1:25" ht="17" thickTop="1">
      <c r="A8" t="s">
        <v>30</v>
      </c>
      <c r="B8" t="s">
        <v>36</v>
      </c>
      <c r="C8" s="33">
        <v>28222</v>
      </c>
      <c r="D8" s="30">
        <v>799</v>
      </c>
      <c r="E8" s="35">
        <v>2.8311246545248401</v>
      </c>
      <c r="F8" s="30">
        <v>27423</v>
      </c>
      <c r="G8" s="35">
        <v>97.1688753454752</v>
      </c>
      <c r="H8" s="33">
        <v>80</v>
      </c>
      <c r="I8" s="35">
        <v>0.29172592349487703</v>
      </c>
      <c r="J8" s="33">
        <v>149</v>
      </c>
      <c r="K8" s="35">
        <v>0.54333953250920797</v>
      </c>
      <c r="L8" s="33">
        <v>4506</v>
      </c>
      <c r="M8" s="35">
        <v>16.431462640848899</v>
      </c>
      <c r="N8" s="33">
        <v>12343</v>
      </c>
      <c r="O8" s="35">
        <v>45.009663421215798</v>
      </c>
      <c r="P8" s="33">
        <v>9533</v>
      </c>
      <c r="Q8" s="35">
        <v>34.762790358458197</v>
      </c>
      <c r="R8" s="33">
        <v>19</v>
      </c>
      <c r="S8" s="35">
        <v>6.9284906830033202E-2</v>
      </c>
      <c r="T8" s="33">
        <v>793</v>
      </c>
      <c r="U8" s="35">
        <v>2.8917332166429599</v>
      </c>
      <c r="V8" s="33">
        <v>1197</v>
      </c>
      <c r="W8" s="35">
        <v>4.24137197930692</v>
      </c>
      <c r="X8" s="39">
        <v>4221</v>
      </c>
      <c r="Y8" s="48">
        <v>100</v>
      </c>
    </row>
    <row r="9" spans="1:25">
      <c r="A9" t="s">
        <v>29</v>
      </c>
      <c r="B9" t="s">
        <v>36</v>
      </c>
      <c r="C9" s="40">
        <v>34616</v>
      </c>
      <c r="D9" s="41">
        <v>2442</v>
      </c>
      <c r="E9" s="42">
        <v>7.1</v>
      </c>
      <c r="F9" s="41">
        <v>32174</v>
      </c>
      <c r="G9" s="42">
        <v>92.9</v>
      </c>
      <c r="H9" s="41">
        <v>45</v>
      </c>
      <c r="I9" s="43">
        <v>0.1</v>
      </c>
      <c r="J9" s="44">
        <v>134</v>
      </c>
      <c r="K9" s="43">
        <v>0.4</v>
      </c>
      <c r="L9" s="41">
        <v>5789</v>
      </c>
      <c r="M9" s="43">
        <v>18</v>
      </c>
      <c r="N9" s="44">
        <v>17133</v>
      </c>
      <c r="O9" s="43">
        <v>53.3</v>
      </c>
      <c r="P9" s="41">
        <v>8215</v>
      </c>
      <c r="Q9" s="43">
        <v>25.5</v>
      </c>
      <c r="R9" s="44">
        <v>14</v>
      </c>
      <c r="S9" s="43">
        <v>0</v>
      </c>
      <c r="T9" s="45">
        <v>844</v>
      </c>
      <c r="U9" s="42">
        <v>2.6</v>
      </c>
      <c r="V9" s="41">
        <v>2063</v>
      </c>
      <c r="W9" s="42">
        <v>6</v>
      </c>
      <c r="X9" s="46">
        <v>4134</v>
      </c>
      <c r="Y9" s="47">
        <v>100</v>
      </c>
    </row>
    <row r="10" spans="1:25">
      <c r="A10" t="s">
        <v>20</v>
      </c>
      <c r="B10" t="s">
        <v>36</v>
      </c>
      <c r="C10" s="18">
        <v>23165</v>
      </c>
      <c r="D10" s="19">
        <v>1731</v>
      </c>
      <c r="E10" s="24">
        <v>7.4725000000000001</v>
      </c>
      <c r="F10" s="19">
        <v>21434</v>
      </c>
      <c r="G10" s="24">
        <v>92.527500000000003</v>
      </c>
      <c r="H10" s="19">
        <v>44</v>
      </c>
      <c r="I10" s="20">
        <v>0.20530000000000001</v>
      </c>
      <c r="J10" s="21">
        <v>126</v>
      </c>
      <c r="K10" s="20">
        <v>0.58789999999999998</v>
      </c>
      <c r="L10" s="19">
        <v>3638</v>
      </c>
      <c r="M10" s="20">
        <v>16.972999999999999</v>
      </c>
      <c r="N10" s="21">
        <v>9824</v>
      </c>
      <c r="O10" s="20">
        <v>45.8337</v>
      </c>
      <c r="P10" s="19">
        <v>6867</v>
      </c>
      <c r="Q10" s="20">
        <v>32.0379</v>
      </c>
      <c r="R10" s="21">
        <v>7</v>
      </c>
      <c r="S10" s="20">
        <v>3.27E-2</v>
      </c>
      <c r="T10" s="23">
        <v>928</v>
      </c>
      <c r="U10" s="24">
        <v>4.3296000000000001</v>
      </c>
      <c r="V10" s="19">
        <v>1427</v>
      </c>
      <c r="W10" s="24">
        <v>6.1601999999999997</v>
      </c>
      <c r="X10" s="27">
        <v>4081</v>
      </c>
      <c r="Y10" s="28">
        <v>100</v>
      </c>
    </row>
    <row r="11" spans="1:25">
      <c r="A11" t="s">
        <v>19</v>
      </c>
      <c r="B11" t="s">
        <v>36</v>
      </c>
      <c r="C11" s="73">
        <v>21465</v>
      </c>
      <c r="D11" s="94">
        <v>2078</v>
      </c>
      <c r="E11" s="77">
        <v>9.6999999999999993</v>
      </c>
      <c r="F11" s="94">
        <v>19387</v>
      </c>
      <c r="G11" s="77">
        <v>90.3</v>
      </c>
      <c r="H11" s="73" t="s">
        <v>37</v>
      </c>
      <c r="I11" s="74" t="s">
        <v>37</v>
      </c>
      <c r="J11" s="75" t="s">
        <v>37</v>
      </c>
      <c r="K11" s="74" t="s">
        <v>37</v>
      </c>
      <c r="L11" s="75" t="s">
        <v>37</v>
      </c>
      <c r="M11" s="74" t="s">
        <v>37</v>
      </c>
      <c r="N11" s="75" t="s">
        <v>37</v>
      </c>
      <c r="O11" s="74" t="s">
        <v>37</v>
      </c>
      <c r="P11" s="75" t="s">
        <v>37</v>
      </c>
      <c r="Q11" s="74" t="s">
        <v>37</v>
      </c>
      <c r="R11" s="75" t="s">
        <v>37</v>
      </c>
      <c r="S11" s="74" t="s">
        <v>37</v>
      </c>
      <c r="T11" s="76" t="s">
        <v>37</v>
      </c>
      <c r="U11" s="77" t="s">
        <v>37</v>
      </c>
      <c r="V11" s="73" t="s">
        <v>37</v>
      </c>
      <c r="W11" s="75" t="s">
        <v>37</v>
      </c>
      <c r="X11" s="78">
        <v>4145</v>
      </c>
      <c r="Y11" s="79">
        <v>100</v>
      </c>
    </row>
    <row r="12" spans="1:25">
      <c r="A12" t="s">
        <v>34</v>
      </c>
      <c r="B12" t="s">
        <v>36</v>
      </c>
      <c r="C12" s="50">
        <v>3331</v>
      </c>
      <c r="D12" s="50">
        <v>249</v>
      </c>
      <c r="E12" s="51">
        <v>7.5</v>
      </c>
      <c r="F12">
        <v>3082</v>
      </c>
      <c r="G12">
        <v>92.5</v>
      </c>
      <c r="H12" s="50">
        <v>3</v>
      </c>
      <c r="I12" s="51" t="s">
        <v>32</v>
      </c>
      <c r="J12" s="50">
        <v>18</v>
      </c>
      <c r="K12" s="51">
        <v>0.57999999999999996</v>
      </c>
      <c r="L12" s="50">
        <v>361</v>
      </c>
      <c r="M12" s="51">
        <v>11.71</v>
      </c>
      <c r="N12" s="50">
        <v>604</v>
      </c>
      <c r="O12" s="51">
        <v>19.600000000000001</v>
      </c>
      <c r="P12" s="50">
        <v>1862</v>
      </c>
      <c r="Q12" s="51">
        <v>60.42</v>
      </c>
      <c r="R12" s="50">
        <v>3</v>
      </c>
      <c r="S12" s="51" t="s">
        <v>32</v>
      </c>
      <c r="T12" s="50">
        <v>231</v>
      </c>
      <c r="U12" s="51">
        <v>7.5</v>
      </c>
      <c r="V12" s="50">
        <v>161</v>
      </c>
      <c r="W12" s="51">
        <v>5.22</v>
      </c>
      <c r="X12" s="50">
        <v>3387</v>
      </c>
      <c r="Y12" s="51">
        <v>83.26</v>
      </c>
    </row>
    <row r="16" spans="1:25" ht="17" thickBot="1"/>
    <row r="17" spans="1:25" s="2" customFormat="1" ht="25" customHeight="1">
      <c r="A17" s="1"/>
      <c r="B17" s="191" t="s">
        <v>0</v>
      </c>
      <c r="C17" s="193" t="s">
        <v>21</v>
      </c>
      <c r="D17" s="181" t="s">
        <v>4</v>
      </c>
      <c r="E17" s="182"/>
      <c r="F17" s="181" t="s">
        <v>3</v>
      </c>
      <c r="G17" s="182"/>
      <c r="H17" s="195" t="s">
        <v>22</v>
      </c>
      <c r="I17" s="196"/>
      <c r="J17" s="196"/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7"/>
      <c r="V17" s="181" t="s">
        <v>23</v>
      </c>
      <c r="W17" s="182"/>
      <c r="X17" s="186" t="s">
        <v>6</v>
      </c>
      <c r="Y17" s="188" t="s">
        <v>7</v>
      </c>
    </row>
    <row r="18" spans="1:25" s="2" customFormat="1" ht="25" customHeight="1">
      <c r="A18" s="1"/>
      <c r="B18" s="192"/>
      <c r="C18" s="194"/>
      <c r="D18" s="183"/>
      <c r="E18" s="184"/>
      <c r="F18" s="183"/>
      <c r="G18" s="184"/>
      <c r="H18" s="180" t="s">
        <v>8</v>
      </c>
      <c r="I18" s="176"/>
      <c r="J18" s="190" t="s">
        <v>9</v>
      </c>
      <c r="K18" s="176"/>
      <c r="L18" s="175" t="s">
        <v>10</v>
      </c>
      <c r="M18" s="176"/>
      <c r="N18" s="175" t="s">
        <v>11</v>
      </c>
      <c r="O18" s="176"/>
      <c r="P18" s="175" t="s">
        <v>12</v>
      </c>
      <c r="Q18" s="176"/>
      <c r="R18" s="175" t="s">
        <v>13</v>
      </c>
      <c r="S18" s="176"/>
      <c r="T18" s="175" t="s">
        <v>14</v>
      </c>
      <c r="U18" s="179"/>
      <c r="V18" s="183"/>
      <c r="W18" s="184"/>
      <c r="X18" s="187"/>
      <c r="Y18" s="189"/>
    </row>
    <row r="19" spans="1:25" s="2" customFormat="1" ht="15" customHeight="1" thickBot="1">
      <c r="A19" s="1"/>
      <c r="B19" s="3"/>
      <c r="C19" s="4"/>
      <c r="D19" s="5" t="s">
        <v>15</v>
      </c>
      <c r="E19" s="9" t="s">
        <v>17</v>
      </c>
      <c r="F19" s="5" t="s">
        <v>15</v>
      </c>
      <c r="G19" s="9" t="s">
        <v>17</v>
      </c>
      <c r="H19" s="5" t="s">
        <v>15</v>
      </c>
      <c r="I19" s="6" t="s">
        <v>16</v>
      </c>
      <c r="J19" s="7" t="s">
        <v>15</v>
      </c>
      <c r="K19" s="6" t="s">
        <v>16</v>
      </c>
      <c r="L19" s="7" t="s">
        <v>15</v>
      </c>
      <c r="M19" s="6" t="s">
        <v>16</v>
      </c>
      <c r="N19" s="7" t="s">
        <v>15</v>
      </c>
      <c r="O19" s="6" t="s">
        <v>16</v>
      </c>
      <c r="P19" s="7" t="s">
        <v>15</v>
      </c>
      <c r="Q19" s="6" t="s">
        <v>16</v>
      </c>
      <c r="R19" s="7" t="s">
        <v>15</v>
      </c>
      <c r="S19" s="6" t="s">
        <v>16</v>
      </c>
      <c r="T19" s="7" t="s">
        <v>15</v>
      </c>
      <c r="U19" s="8" t="s">
        <v>16</v>
      </c>
      <c r="V19" s="7" t="s">
        <v>15</v>
      </c>
      <c r="W19" s="9" t="s">
        <v>17</v>
      </c>
      <c r="X19" s="10"/>
      <c r="Y19" s="11"/>
    </row>
    <row r="20" spans="1:25" ht="18" thickTop="1" thickBot="1">
      <c r="A20" t="s">
        <v>35</v>
      </c>
      <c r="B20" t="s">
        <v>39</v>
      </c>
      <c r="C20" s="56">
        <v>385126</v>
      </c>
      <c r="D20" s="115">
        <v>16234</v>
      </c>
      <c r="F20" s="113">
        <v>368892</v>
      </c>
      <c r="H20" s="113">
        <v>14551</v>
      </c>
      <c r="I20" s="67">
        <v>3.8</v>
      </c>
      <c r="J20" s="113">
        <v>7350</v>
      </c>
      <c r="K20" s="67">
        <v>1.9</v>
      </c>
      <c r="L20" s="113">
        <v>70830</v>
      </c>
      <c r="M20" s="67">
        <v>18.399999999999999</v>
      </c>
      <c r="N20" s="113">
        <v>154752</v>
      </c>
      <c r="O20" s="67">
        <v>40.200000000000003</v>
      </c>
      <c r="P20" s="113">
        <v>150729</v>
      </c>
      <c r="Q20" s="125">
        <v>39.200000000000003</v>
      </c>
      <c r="V20" s="113">
        <v>27155</v>
      </c>
    </row>
    <row r="21" spans="1:25" ht="18" thickTop="1" thickBot="1">
      <c r="A21" t="s">
        <v>30</v>
      </c>
      <c r="B21" t="s">
        <v>39</v>
      </c>
      <c r="C21" s="33">
        <v>720928</v>
      </c>
      <c r="D21" s="33">
        <v>31109</v>
      </c>
      <c r="E21" s="35">
        <v>4.31513271783035</v>
      </c>
      <c r="F21" s="33">
        <v>689819</v>
      </c>
      <c r="G21" s="35">
        <v>95.684867282169606</v>
      </c>
      <c r="H21" s="81">
        <v>10812</v>
      </c>
      <c r="I21" s="83">
        <v>1.5673676718095599</v>
      </c>
      <c r="J21" s="81">
        <v>4971</v>
      </c>
      <c r="K21" s="83">
        <v>0.72062381581255397</v>
      </c>
      <c r="L21" s="81">
        <v>138982</v>
      </c>
      <c r="M21" s="83">
        <v>20.147603936684799</v>
      </c>
      <c r="N21" s="81">
        <v>237998</v>
      </c>
      <c r="O21" s="83">
        <v>34.501514165309999</v>
      </c>
      <c r="P21" s="89">
        <v>275051</v>
      </c>
      <c r="Q21" s="35">
        <v>39.872923187096902</v>
      </c>
      <c r="R21" s="33">
        <v>2389</v>
      </c>
      <c r="S21" s="35">
        <v>0.34632273103524303</v>
      </c>
      <c r="T21" s="33">
        <v>19616</v>
      </c>
      <c r="U21" s="35">
        <v>2.8436444922508701</v>
      </c>
      <c r="V21" s="33">
        <v>43116</v>
      </c>
      <c r="W21" s="35">
        <v>5.9806249722579796</v>
      </c>
      <c r="X21" s="71">
        <v>95635</v>
      </c>
      <c r="Y21" s="35">
        <v>99.808647461703302</v>
      </c>
    </row>
    <row r="22" spans="1:25" ht="17" thickTop="1">
      <c r="A22" t="s">
        <v>29</v>
      </c>
      <c r="B22" t="s">
        <v>39</v>
      </c>
      <c r="C22" s="44">
        <v>644605</v>
      </c>
      <c r="D22" s="44">
        <v>44841</v>
      </c>
      <c r="E22" s="91">
        <v>7</v>
      </c>
      <c r="F22" s="44">
        <v>599764</v>
      </c>
      <c r="G22" s="91">
        <v>93</v>
      </c>
      <c r="H22" s="44">
        <v>8107</v>
      </c>
      <c r="I22" s="91">
        <v>1.4</v>
      </c>
      <c r="J22" s="44">
        <v>3684</v>
      </c>
      <c r="K22" s="91">
        <v>0.6</v>
      </c>
      <c r="L22" s="44">
        <v>115358</v>
      </c>
      <c r="M22" s="91">
        <v>19.2</v>
      </c>
      <c r="N22" s="44">
        <v>226463</v>
      </c>
      <c r="O22" s="91">
        <v>37.799999999999997</v>
      </c>
      <c r="P22" s="44">
        <v>225340</v>
      </c>
      <c r="Q22" s="91">
        <v>37.6</v>
      </c>
      <c r="R22" s="44">
        <v>1544</v>
      </c>
      <c r="S22" s="91">
        <v>0.3</v>
      </c>
      <c r="T22" s="44">
        <v>19268</v>
      </c>
      <c r="U22" s="91">
        <v>3.2</v>
      </c>
      <c r="V22" s="44">
        <v>43505</v>
      </c>
      <c r="W22" s="91">
        <v>6.7</v>
      </c>
      <c r="X22" s="92">
        <v>95507</v>
      </c>
      <c r="Y22" s="91">
        <v>99.9</v>
      </c>
    </row>
    <row r="23" spans="1:25" ht="17" thickBot="1">
      <c r="A23" t="s">
        <v>20</v>
      </c>
      <c r="B23" t="s">
        <v>39</v>
      </c>
      <c r="C23" s="21">
        <v>675925</v>
      </c>
      <c r="D23" s="21">
        <v>71196</v>
      </c>
      <c r="E23" s="25">
        <v>10.533099999999999</v>
      </c>
      <c r="F23" s="21">
        <v>604729</v>
      </c>
      <c r="G23" s="25">
        <v>89.466899999999995</v>
      </c>
      <c r="H23" s="21">
        <v>8504</v>
      </c>
      <c r="I23" s="25">
        <v>1.4061999999999999</v>
      </c>
      <c r="J23" s="21">
        <v>3650</v>
      </c>
      <c r="K23" s="25">
        <v>0.60360000000000003</v>
      </c>
      <c r="L23" s="21">
        <v>113871</v>
      </c>
      <c r="M23" s="25">
        <v>18.830100000000002</v>
      </c>
      <c r="N23" s="21">
        <v>229406</v>
      </c>
      <c r="O23" s="25">
        <v>37.935299999999998</v>
      </c>
      <c r="P23" s="21">
        <v>223945</v>
      </c>
      <c r="Q23" s="25">
        <v>37.032299999999999</v>
      </c>
      <c r="R23" s="21">
        <v>1616</v>
      </c>
      <c r="S23" s="25">
        <v>0.26719999999999999</v>
      </c>
      <c r="T23" s="21">
        <v>23737</v>
      </c>
      <c r="U23" s="25">
        <v>3.9251999999999998</v>
      </c>
      <c r="V23" s="21">
        <v>42065</v>
      </c>
      <c r="W23" s="25">
        <v>6.2233000000000001</v>
      </c>
      <c r="X23" s="72">
        <v>96360</v>
      </c>
      <c r="Y23" s="93">
        <v>99.989000000000004</v>
      </c>
    </row>
    <row r="24" spans="1:25">
      <c r="A24" t="s">
        <v>19</v>
      </c>
      <c r="B24" t="s">
        <v>39</v>
      </c>
      <c r="C24" s="66"/>
      <c r="D24" s="26">
        <v>89496</v>
      </c>
      <c r="E24" s="62"/>
      <c r="F24" s="58">
        <v>615027</v>
      </c>
      <c r="G24" s="62"/>
      <c r="H24" s="59" t="s">
        <v>37</v>
      </c>
      <c r="I24" s="60" t="s">
        <v>37</v>
      </c>
      <c r="J24" t="s">
        <v>37</v>
      </c>
      <c r="K24" s="60" t="s">
        <v>37</v>
      </c>
      <c r="L24" s="59" t="s">
        <v>37</v>
      </c>
      <c r="M24" s="60" t="s">
        <v>37</v>
      </c>
      <c r="N24" t="s">
        <v>37</v>
      </c>
      <c r="O24" s="60" t="s">
        <v>37</v>
      </c>
      <c r="P24" s="59" t="s">
        <v>37</v>
      </c>
      <c r="Q24" s="60" t="s">
        <v>37</v>
      </c>
      <c r="R24" t="s">
        <v>37</v>
      </c>
      <c r="S24" s="60" t="s">
        <v>37</v>
      </c>
      <c r="T24" s="61" t="s">
        <v>37</v>
      </c>
      <c r="U24" s="62" t="s">
        <v>37</v>
      </c>
      <c r="V24" s="70" t="s">
        <v>37</v>
      </c>
      <c r="W24" s="62" t="s">
        <v>37</v>
      </c>
      <c r="X24" s="27">
        <v>97632</v>
      </c>
      <c r="Y24" s="28">
        <v>99.986000000000004</v>
      </c>
    </row>
    <row r="25" spans="1:25">
      <c r="A25" t="s">
        <v>34</v>
      </c>
      <c r="B25" t="s">
        <v>39</v>
      </c>
      <c r="C25" s="50">
        <v>73291</v>
      </c>
      <c r="D25" s="50">
        <v>9188</v>
      </c>
      <c r="E25" s="51"/>
      <c r="H25" s="50">
        <v>788</v>
      </c>
      <c r="I25" s="51">
        <v>1.23</v>
      </c>
      <c r="J25" s="50">
        <v>222</v>
      </c>
      <c r="K25" s="51">
        <v>0.35</v>
      </c>
      <c r="L25" s="50">
        <v>8303</v>
      </c>
      <c r="M25" s="51">
        <v>12.95</v>
      </c>
      <c r="N25" s="50">
        <v>17112</v>
      </c>
      <c r="O25" s="51">
        <v>26.69</v>
      </c>
      <c r="P25" s="50">
        <v>33677</v>
      </c>
      <c r="Q25" s="51">
        <v>52.54</v>
      </c>
      <c r="R25" s="50">
        <v>67</v>
      </c>
      <c r="S25" s="51" t="s">
        <v>32</v>
      </c>
      <c r="T25" s="50">
        <v>3934</v>
      </c>
      <c r="U25" s="51">
        <v>6.14</v>
      </c>
      <c r="V25" s="50">
        <v>2903</v>
      </c>
      <c r="W25" s="51">
        <v>4.53</v>
      </c>
      <c r="X25" s="50">
        <v>84829</v>
      </c>
      <c r="Y25" s="51">
        <v>88.74</v>
      </c>
    </row>
    <row r="26" spans="1:25">
      <c r="C26" s="50"/>
      <c r="D26" s="50"/>
      <c r="E26" s="51"/>
      <c r="F26" s="50"/>
      <c r="G26" s="51"/>
      <c r="H26" s="50"/>
      <c r="I26" s="51"/>
      <c r="J26" s="50"/>
      <c r="K26" s="51"/>
      <c r="L26" s="50"/>
      <c r="M26" s="51"/>
      <c r="N26" s="50"/>
      <c r="O26" s="51"/>
      <c r="P26" s="50"/>
      <c r="Q26" s="51"/>
      <c r="R26" s="50"/>
      <c r="S26" s="51"/>
      <c r="T26" s="50"/>
      <c r="U26" s="51"/>
      <c r="V26" s="50"/>
      <c r="W26" s="51"/>
      <c r="X26" s="90"/>
      <c r="Y26" s="76"/>
    </row>
    <row r="27" spans="1:25">
      <c r="C27" s="50"/>
      <c r="D27" s="50"/>
      <c r="E27" s="51"/>
      <c r="F27" s="50"/>
      <c r="G27" s="51"/>
      <c r="H27" s="50"/>
      <c r="I27" s="51"/>
      <c r="J27" s="50"/>
      <c r="K27" s="51"/>
      <c r="L27" s="50"/>
      <c r="M27" s="51"/>
      <c r="N27" s="50"/>
      <c r="O27" s="51"/>
      <c r="P27" s="50"/>
      <c r="Q27" s="51"/>
      <c r="R27" s="50"/>
      <c r="S27" s="51"/>
      <c r="T27" s="50"/>
      <c r="U27" s="51"/>
      <c r="V27" s="50"/>
      <c r="W27" s="51"/>
    </row>
    <row r="28" spans="1:25" ht="17" thickBot="1"/>
    <row r="29" spans="1:25" ht="18" thickTop="1" thickBot="1">
      <c r="H29" s="108"/>
      <c r="I29" s="108"/>
      <c r="J29" s="108"/>
      <c r="K29" s="108"/>
      <c r="L29" s="108"/>
      <c r="M29" s="108"/>
      <c r="N29" s="108"/>
      <c r="O29" s="108"/>
      <c r="P29" s="109"/>
    </row>
    <row r="30" spans="1:25" ht="18" thickTop="1" thickBot="1">
      <c r="G30" s="110"/>
      <c r="H30" s="54"/>
      <c r="I30" s="54"/>
      <c r="J30" s="54"/>
      <c r="K30" s="54"/>
      <c r="L30" s="54"/>
      <c r="M30" s="53"/>
      <c r="N30" s="54"/>
      <c r="O30" s="54"/>
      <c r="P30" s="111"/>
    </row>
    <row r="31" spans="1:25" ht="18" thickTop="1" thickBot="1">
      <c r="G31" s="110"/>
      <c r="H31" s="54"/>
      <c r="I31" s="54"/>
      <c r="J31" s="54"/>
      <c r="K31" s="54"/>
      <c r="L31" s="54"/>
      <c r="M31" s="53"/>
      <c r="N31" s="54"/>
      <c r="O31" s="54"/>
      <c r="P31" s="111"/>
    </row>
    <row r="32" spans="1:25" ht="18" thickTop="1" thickBot="1">
      <c r="G32" s="112"/>
      <c r="H32" s="113"/>
      <c r="I32" s="113"/>
      <c r="J32" s="113"/>
      <c r="K32" s="113"/>
      <c r="L32" s="113"/>
      <c r="M32" s="114"/>
      <c r="N32" s="113"/>
      <c r="O32" s="113"/>
      <c r="P32" s="115"/>
    </row>
    <row r="33" spans="7:16" ht="18" thickTop="1" thickBot="1">
      <c r="H33" s="108"/>
      <c r="I33" s="108"/>
      <c r="J33" s="108"/>
      <c r="K33" s="108"/>
      <c r="L33" s="108"/>
      <c r="M33" s="108"/>
      <c r="N33" s="108"/>
      <c r="O33" s="108"/>
      <c r="P33" s="109"/>
    </row>
    <row r="34" spans="7:16" ht="18" thickTop="1" thickBot="1">
      <c r="G34" s="110"/>
      <c r="H34" s="53"/>
      <c r="I34" s="53"/>
      <c r="J34" s="54"/>
      <c r="K34" s="54"/>
      <c r="L34" s="54"/>
      <c r="M34" s="53"/>
      <c r="N34" s="54"/>
      <c r="O34" s="53"/>
      <c r="P34" s="55"/>
    </row>
    <row r="35" spans="7:16" ht="18" thickTop="1" thickBot="1">
      <c r="G35" s="110"/>
      <c r="H35" s="53"/>
      <c r="I35" s="53"/>
      <c r="J35" s="53"/>
      <c r="K35" s="54"/>
      <c r="L35" s="54"/>
      <c r="M35" s="53"/>
      <c r="N35" s="54"/>
      <c r="O35" s="53"/>
      <c r="P35" s="55"/>
    </row>
    <row r="36" spans="7:16" ht="18" thickTop="1" thickBot="1">
      <c r="G36" s="112"/>
      <c r="H36" s="114"/>
      <c r="I36" s="114"/>
      <c r="J36" s="113"/>
      <c r="K36" s="113"/>
      <c r="L36" s="113"/>
      <c r="M36" s="114"/>
      <c r="N36" s="113"/>
      <c r="O36" s="114"/>
      <c r="P36" s="116"/>
    </row>
    <row r="37" spans="7:16" ht="17" thickTop="1"/>
  </sheetData>
  <sortState xmlns:xlrd2="http://schemas.microsoft.com/office/spreadsheetml/2017/richdata2" ref="A19:Z27">
    <sortCondition descending="1" ref="Z19:Z27"/>
  </sortState>
  <mergeCells count="30">
    <mergeCell ref="X4:X5"/>
    <mergeCell ref="Y4:Y5"/>
    <mergeCell ref="H5:I5"/>
    <mergeCell ref="J5:K5"/>
    <mergeCell ref="L5:M5"/>
    <mergeCell ref="N5:O5"/>
    <mergeCell ref="P5:Q5"/>
    <mergeCell ref="R5:S5"/>
    <mergeCell ref="T5:U5"/>
    <mergeCell ref="V4:W5"/>
    <mergeCell ref="B4:B5"/>
    <mergeCell ref="C4:C5"/>
    <mergeCell ref="D4:E5"/>
    <mergeCell ref="F4:G5"/>
    <mergeCell ref="H4:U4"/>
    <mergeCell ref="B17:B18"/>
    <mergeCell ref="C17:C18"/>
    <mergeCell ref="D17:E18"/>
    <mergeCell ref="F17:G18"/>
    <mergeCell ref="H17:U17"/>
    <mergeCell ref="V17:W18"/>
    <mergeCell ref="X17:X18"/>
    <mergeCell ref="Y17:Y18"/>
    <mergeCell ref="H18:I18"/>
    <mergeCell ref="J18:K18"/>
    <mergeCell ref="L18:M18"/>
    <mergeCell ref="N18:O18"/>
    <mergeCell ref="P18:Q18"/>
    <mergeCell ref="R18:S18"/>
    <mergeCell ref="T18:U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2D088-888B-1A4D-8085-17EEF8C45800}">
  <dimension ref="A3:Y32"/>
  <sheetViews>
    <sheetView workbookViewId="0">
      <selection activeCell="L18" activeCellId="1" sqref="L5:M12 L18:M25"/>
    </sheetView>
  </sheetViews>
  <sheetFormatPr baseColWidth="10" defaultRowHeight="16"/>
  <sheetData>
    <row r="3" spans="1:25" ht="17" thickBot="1"/>
    <row r="4" spans="1:25" s="2" customFormat="1" ht="25" customHeight="1">
      <c r="A4" s="1"/>
      <c r="B4" s="191" t="s">
        <v>0</v>
      </c>
      <c r="C4" s="193" t="s">
        <v>21</v>
      </c>
      <c r="D4" s="181" t="s">
        <v>4</v>
      </c>
      <c r="E4" s="182"/>
      <c r="F4" s="181" t="s">
        <v>3</v>
      </c>
      <c r="G4" s="182"/>
      <c r="H4" s="195" t="s">
        <v>22</v>
      </c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7"/>
      <c r="V4" s="181" t="s">
        <v>23</v>
      </c>
      <c r="W4" s="182"/>
      <c r="X4" s="186" t="s">
        <v>6</v>
      </c>
      <c r="Y4" s="188" t="s">
        <v>7</v>
      </c>
    </row>
    <row r="5" spans="1:25" s="2" customFormat="1" ht="25" customHeight="1">
      <c r="A5" s="1"/>
      <c r="B5" s="192"/>
      <c r="C5" s="194"/>
      <c r="D5" s="183"/>
      <c r="E5" s="184"/>
      <c r="F5" s="183"/>
      <c r="G5" s="184"/>
      <c r="H5" s="180" t="s">
        <v>8</v>
      </c>
      <c r="I5" s="176"/>
      <c r="J5" s="190" t="s">
        <v>9</v>
      </c>
      <c r="K5" s="176"/>
      <c r="L5" s="175" t="s">
        <v>10</v>
      </c>
      <c r="M5" s="176"/>
      <c r="N5" s="175" t="s">
        <v>11</v>
      </c>
      <c r="O5" s="176"/>
      <c r="P5" s="175" t="s">
        <v>12</v>
      </c>
      <c r="Q5" s="176"/>
      <c r="R5" s="175" t="s">
        <v>13</v>
      </c>
      <c r="S5" s="176"/>
      <c r="T5" s="175" t="s">
        <v>14</v>
      </c>
      <c r="U5" s="179"/>
      <c r="V5" s="183"/>
      <c r="W5" s="184"/>
      <c r="X5" s="187"/>
      <c r="Y5" s="189"/>
    </row>
    <row r="6" spans="1:25" s="2" customFormat="1" ht="15" customHeight="1" thickBot="1">
      <c r="A6" s="1"/>
      <c r="B6" s="3"/>
      <c r="C6" s="4"/>
      <c r="D6" s="5" t="s">
        <v>15</v>
      </c>
      <c r="E6" s="9" t="s">
        <v>17</v>
      </c>
      <c r="F6" s="5" t="s">
        <v>15</v>
      </c>
      <c r="G6" s="9" t="s">
        <v>17</v>
      </c>
      <c r="H6" s="5" t="s">
        <v>15</v>
      </c>
      <c r="I6" s="6" t="s">
        <v>16</v>
      </c>
      <c r="J6" s="7" t="s">
        <v>15</v>
      </c>
      <c r="K6" s="6" t="s">
        <v>16</v>
      </c>
      <c r="L6" s="7" t="s">
        <v>15</v>
      </c>
      <c r="M6" s="6" t="s">
        <v>16</v>
      </c>
      <c r="N6" s="7" t="s">
        <v>15</v>
      </c>
      <c r="O6" s="6" t="s">
        <v>16</v>
      </c>
      <c r="P6" s="7" t="s">
        <v>15</v>
      </c>
      <c r="Q6" s="6" t="s">
        <v>16</v>
      </c>
      <c r="R6" s="7" t="s">
        <v>15</v>
      </c>
      <c r="S6" s="6" t="s">
        <v>16</v>
      </c>
      <c r="T6" s="7" t="s">
        <v>15</v>
      </c>
      <c r="U6" s="8" t="s">
        <v>16</v>
      </c>
      <c r="V6" s="7" t="s">
        <v>15</v>
      </c>
      <c r="W6" s="9" t="s">
        <v>17</v>
      </c>
      <c r="X6" s="10"/>
      <c r="Y6" s="11"/>
    </row>
    <row r="7" spans="1:25" ht="18" thickTop="1" thickBot="1">
      <c r="A7" t="s">
        <v>35</v>
      </c>
      <c r="B7" t="s">
        <v>36</v>
      </c>
      <c r="C7" s="13">
        <v>10724</v>
      </c>
      <c r="D7" s="55">
        <v>122</v>
      </c>
      <c r="E7" s="15">
        <v>1.1000000000000001</v>
      </c>
      <c r="F7" s="54">
        <v>10602</v>
      </c>
      <c r="G7" s="15">
        <v>98.9</v>
      </c>
      <c r="H7" s="53">
        <v>31</v>
      </c>
      <c r="I7" s="15">
        <v>0.3</v>
      </c>
      <c r="J7" s="53">
        <v>69</v>
      </c>
      <c r="K7" s="15">
        <v>0.6</v>
      </c>
      <c r="L7" s="54">
        <v>1973</v>
      </c>
      <c r="M7" s="15">
        <v>18.399999999999999</v>
      </c>
      <c r="N7" s="54">
        <v>4826</v>
      </c>
      <c r="O7" s="15">
        <v>45</v>
      </c>
      <c r="P7" s="54">
        <v>4997</v>
      </c>
      <c r="Q7" s="15">
        <v>46.6</v>
      </c>
      <c r="R7" s="14"/>
      <c r="S7" s="15"/>
      <c r="T7" s="13"/>
      <c r="U7" s="15"/>
      <c r="V7" s="53">
        <v>250</v>
      </c>
      <c r="W7" s="15">
        <v>2.2999999999999998</v>
      </c>
    </row>
    <row r="8" spans="1:25" ht="17" thickTop="1">
      <c r="A8" t="s">
        <v>30</v>
      </c>
      <c r="B8" t="s">
        <v>36</v>
      </c>
      <c r="C8" s="33">
        <v>21803</v>
      </c>
      <c r="D8" s="30">
        <v>601</v>
      </c>
      <c r="E8" s="35">
        <v>2.8</v>
      </c>
      <c r="F8" s="30">
        <v>21202</v>
      </c>
      <c r="G8" s="35">
        <v>97.2</v>
      </c>
      <c r="H8" s="33">
        <v>56</v>
      </c>
      <c r="I8" s="35">
        <v>0.204208146446414</v>
      </c>
      <c r="J8" s="33">
        <v>130</v>
      </c>
      <c r="K8" s="35">
        <v>0.474054625679174</v>
      </c>
      <c r="L8" s="33">
        <v>3545</v>
      </c>
      <c r="M8" s="35">
        <v>12.9271049848667</v>
      </c>
      <c r="N8" s="33">
        <v>9071</v>
      </c>
      <c r="O8" s="35">
        <v>33.078073150275301</v>
      </c>
      <c r="P8" s="33">
        <v>7782</v>
      </c>
      <c r="Q8" s="35">
        <v>28.377639207964101</v>
      </c>
      <c r="R8" s="33">
        <v>17</v>
      </c>
      <c r="S8" s="35">
        <v>6.1991758742661301E-2</v>
      </c>
      <c r="T8" s="33">
        <v>601</v>
      </c>
      <c r="U8" s="35">
        <v>2.1915910002552601</v>
      </c>
      <c r="V8" s="33">
        <v>975</v>
      </c>
      <c r="W8" s="35">
        <v>3.4547516122174202</v>
      </c>
      <c r="X8" s="39">
        <v>4221</v>
      </c>
      <c r="Y8" s="48">
        <v>100</v>
      </c>
    </row>
    <row r="9" spans="1:25">
      <c r="A9" t="s">
        <v>29</v>
      </c>
      <c r="B9" t="s">
        <v>36</v>
      </c>
      <c r="C9" s="40">
        <v>26930</v>
      </c>
      <c r="D9" s="41">
        <v>1783</v>
      </c>
      <c r="E9" s="42">
        <v>6.6</v>
      </c>
      <c r="F9" s="41">
        <v>25147</v>
      </c>
      <c r="G9" s="42">
        <v>93.4</v>
      </c>
      <c r="H9" s="41">
        <v>27</v>
      </c>
      <c r="I9" s="43">
        <v>0.1</v>
      </c>
      <c r="J9" s="44">
        <v>115</v>
      </c>
      <c r="K9" s="43">
        <v>0.5</v>
      </c>
      <c r="L9" s="41">
        <v>4672</v>
      </c>
      <c r="M9" s="43">
        <v>18.600000000000001</v>
      </c>
      <c r="N9" s="44">
        <v>12916</v>
      </c>
      <c r="O9" s="43">
        <v>51.4</v>
      </c>
      <c r="P9" s="41">
        <v>6749</v>
      </c>
      <c r="Q9" s="43">
        <v>26.8</v>
      </c>
      <c r="R9" s="44">
        <v>13</v>
      </c>
      <c r="S9" s="43">
        <v>0.1</v>
      </c>
      <c r="T9" s="45">
        <v>655</v>
      </c>
      <c r="U9" s="42">
        <v>2.6</v>
      </c>
      <c r="V9" s="41">
        <v>1727</v>
      </c>
      <c r="W9" s="42">
        <v>6.4</v>
      </c>
      <c r="X9" s="46">
        <v>4134</v>
      </c>
      <c r="Y9" s="47">
        <v>100</v>
      </c>
    </row>
    <row r="10" spans="1:25">
      <c r="A10" t="s">
        <v>20</v>
      </c>
      <c r="B10" t="s">
        <v>36</v>
      </c>
      <c r="C10" s="18">
        <v>17840</v>
      </c>
      <c r="D10" s="19">
        <v>1278</v>
      </c>
      <c r="E10" s="24">
        <v>7.1637000000000004</v>
      </c>
      <c r="F10" s="19">
        <v>16562</v>
      </c>
      <c r="G10" s="24">
        <v>92.836299999999994</v>
      </c>
      <c r="H10" s="19">
        <v>34</v>
      </c>
      <c r="I10" s="20">
        <v>0.20530000000000001</v>
      </c>
      <c r="J10" s="21">
        <v>91</v>
      </c>
      <c r="K10" s="20">
        <v>0.54949999999999999</v>
      </c>
      <c r="L10" s="19">
        <v>2842</v>
      </c>
      <c r="M10" s="20">
        <v>17.159800000000001</v>
      </c>
      <c r="N10" s="21">
        <v>7261</v>
      </c>
      <c r="O10" s="20">
        <v>43.841299999999997</v>
      </c>
      <c r="P10" s="19">
        <v>5604</v>
      </c>
      <c r="Q10" s="20">
        <v>33.836500000000001</v>
      </c>
      <c r="R10" s="21">
        <v>6</v>
      </c>
      <c r="S10" s="20">
        <v>3.6200000000000003E-2</v>
      </c>
      <c r="T10" s="23">
        <v>724</v>
      </c>
      <c r="U10" s="24">
        <v>4.3715000000000002</v>
      </c>
      <c r="V10" s="19">
        <v>1133</v>
      </c>
      <c r="W10" s="24">
        <v>6.3509000000000002</v>
      </c>
      <c r="X10" s="27">
        <v>4081</v>
      </c>
      <c r="Y10" s="28">
        <v>100</v>
      </c>
    </row>
    <row r="11" spans="1:25">
      <c r="A11" t="s">
        <v>19</v>
      </c>
      <c r="B11" t="s">
        <v>36</v>
      </c>
      <c r="C11" s="59">
        <v>16411</v>
      </c>
      <c r="D11" s="19">
        <v>1547</v>
      </c>
      <c r="E11" s="62">
        <v>9.4</v>
      </c>
      <c r="F11" s="19">
        <v>14864</v>
      </c>
      <c r="G11" s="62">
        <v>90.6</v>
      </c>
      <c r="H11" s="59" t="s">
        <v>37</v>
      </c>
      <c r="I11" s="60" t="s">
        <v>37</v>
      </c>
      <c r="J11" t="s">
        <v>37</v>
      </c>
      <c r="K11" s="60" t="s">
        <v>37</v>
      </c>
      <c r="L11" t="s">
        <v>37</v>
      </c>
      <c r="M11" s="60" t="s">
        <v>37</v>
      </c>
      <c r="N11" t="s">
        <v>37</v>
      </c>
      <c r="O11" s="60" t="s">
        <v>37</v>
      </c>
      <c r="P11" t="s">
        <v>37</v>
      </c>
      <c r="Q11" s="60" t="s">
        <v>37</v>
      </c>
      <c r="R11" t="s">
        <v>37</v>
      </c>
      <c r="S11" s="60" t="s">
        <v>37</v>
      </c>
      <c r="T11" s="61" t="s">
        <v>37</v>
      </c>
      <c r="U11" s="62" t="s">
        <v>37</v>
      </c>
      <c r="V11" s="59" t="s">
        <v>37</v>
      </c>
      <c r="W11" t="s">
        <v>37</v>
      </c>
      <c r="X11" s="27">
        <v>4145</v>
      </c>
      <c r="Y11" s="28">
        <v>100</v>
      </c>
    </row>
    <row r="12" spans="1:25">
      <c r="A12" t="s">
        <v>34</v>
      </c>
      <c r="B12" t="s">
        <v>36</v>
      </c>
      <c r="C12" s="50">
        <v>2689</v>
      </c>
      <c r="D12" s="50">
        <v>198</v>
      </c>
      <c r="E12" s="52">
        <v>7.36</v>
      </c>
      <c r="F12">
        <v>2491</v>
      </c>
      <c r="G12">
        <v>92.6</v>
      </c>
      <c r="H12" s="50">
        <v>3</v>
      </c>
      <c r="I12" s="51">
        <v>0.12</v>
      </c>
      <c r="J12" s="50">
        <v>12</v>
      </c>
      <c r="K12" s="51">
        <v>0.48</v>
      </c>
      <c r="L12" s="50">
        <v>297</v>
      </c>
      <c r="M12" s="51">
        <v>11.92</v>
      </c>
      <c r="N12" s="50">
        <v>479</v>
      </c>
      <c r="O12" s="51">
        <v>19.23</v>
      </c>
      <c r="P12" s="50">
        <v>1525</v>
      </c>
      <c r="Q12" s="51">
        <v>61.22</v>
      </c>
      <c r="R12" s="50">
        <v>3</v>
      </c>
      <c r="S12" s="51">
        <v>0.12</v>
      </c>
      <c r="T12" s="50">
        <v>172</v>
      </c>
      <c r="U12" s="51">
        <v>6.9</v>
      </c>
      <c r="V12" s="50">
        <v>132</v>
      </c>
      <c r="W12" s="51">
        <v>5.3</v>
      </c>
      <c r="X12" s="50">
        <v>3387</v>
      </c>
      <c r="Y12" s="51">
        <v>83.26</v>
      </c>
    </row>
    <row r="16" spans="1:25" ht="17" thickBot="1"/>
    <row r="17" spans="1:25" s="2" customFormat="1" ht="25" customHeight="1">
      <c r="A17" s="1"/>
      <c r="B17" s="191" t="s">
        <v>0</v>
      </c>
      <c r="C17" s="193" t="s">
        <v>21</v>
      </c>
      <c r="D17" s="181" t="s">
        <v>4</v>
      </c>
      <c r="E17" s="182"/>
      <c r="F17" s="181" t="s">
        <v>3</v>
      </c>
      <c r="G17" s="182"/>
      <c r="H17" s="195" t="s">
        <v>22</v>
      </c>
      <c r="I17" s="196"/>
      <c r="J17" s="196"/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7"/>
      <c r="V17" s="181" t="s">
        <v>23</v>
      </c>
      <c r="W17" s="182"/>
      <c r="X17" s="186" t="s">
        <v>6</v>
      </c>
      <c r="Y17" s="188" t="s">
        <v>7</v>
      </c>
    </row>
    <row r="18" spans="1:25" s="2" customFormat="1" ht="25" customHeight="1">
      <c r="A18" s="1"/>
      <c r="B18" s="192"/>
      <c r="C18" s="194"/>
      <c r="D18" s="183"/>
      <c r="E18" s="184"/>
      <c r="F18" s="183"/>
      <c r="G18" s="184"/>
      <c r="H18" s="180" t="s">
        <v>8</v>
      </c>
      <c r="I18" s="176"/>
      <c r="J18" s="190" t="s">
        <v>9</v>
      </c>
      <c r="K18" s="176"/>
      <c r="L18" s="175" t="s">
        <v>10</v>
      </c>
      <c r="M18" s="176"/>
      <c r="N18" s="175" t="s">
        <v>11</v>
      </c>
      <c r="O18" s="176"/>
      <c r="P18" s="175" t="s">
        <v>12</v>
      </c>
      <c r="Q18" s="176"/>
      <c r="R18" s="175" t="s">
        <v>13</v>
      </c>
      <c r="S18" s="176"/>
      <c r="T18" s="175" t="s">
        <v>14</v>
      </c>
      <c r="U18" s="179"/>
      <c r="V18" s="183"/>
      <c r="W18" s="184"/>
      <c r="X18" s="187"/>
      <c r="Y18" s="189"/>
    </row>
    <row r="19" spans="1:25" s="2" customFormat="1" ht="15" customHeight="1" thickBot="1">
      <c r="A19" s="1"/>
      <c r="B19" s="3"/>
      <c r="C19" s="4"/>
      <c r="D19" s="5" t="s">
        <v>15</v>
      </c>
      <c r="E19" s="9" t="s">
        <v>17</v>
      </c>
      <c r="F19" s="5" t="s">
        <v>15</v>
      </c>
      <c r="G19" s="9" t="s">
        <v>17</v>
      </c>
      <c r="H19" s="5" t="s">
        <v>15</v>
      </c>
      <c r="I19" s="6" t="s">
        <v>16</v>
      </c>
      <c r="J19" s="7" t="s">
        <v>15</v>
      </c>
      <c r="K19" s="6" t="s">
        <v>16</v>
      </c>
      <c r="L19" s="7" t="s">
        <v>15</v>
      </c>
      <c r="M19" s="6" t="s">
        <v>16</v>
      </c>
      <c r="N19" s="7" t="s">
        <v>15</v>
      </c>
      <c r="O19" s="6" t="s">
        <v>16</v>
      </c>
      <c r="P19" s="7" t="s">
        <v>15</v>
      </c>
      <c r="Q19" s="6" t="s">
        <v>16</v>
      </c>
      <c r="R19" s="7" t="s">
        <v>15</v>
      </c>
      <c r="S19" s="6" t="s">
        <v>16</v>
      </c>
      <c r="T19" s="7" t="s">
        <v>15</v>
      </c>
      <c r="U19" s="8" t="s">
        <v>16</v>
      </c>
      <c r="V19" s="7" t="s">
        <v>15</v>
      </c>
      <c r="W19" s="9" t="s">
        <v>17</v>
      </c>
      <c r="X19" s="10"/>
      <c r="Y19" s="11"/>
    </row>
    <row r="20" spans="1:25" ht="18" thickTop="1" thickBot="1">
      <c r="A20" t="s">
        <v>35</v>
      </c>
      <c r="B20" t="s">
        <v>39</v>
      </c>
      <c r="C20" s="56">
        <v>310291</v>
      </c>
      <c r="D20" s="111">
        <v>13859</v>
      </c>
      <c r="F20" s="54">
        <v>296432</v>
      </c>
      <c r="H20" s="54">
        <v>12936</v>
      </c>
      <c r="I20">
        <v>4.2</v>
      </c>
      <c r="J20" s="54">
        <v>5815</v>
      </c>
      <c r="K20">
        <v>1.9</v>
      </c>
      <c r="L20" s="54">
        <v>56991</v>
      </c>
      <c r="M20">
        <v>18.399999999999999</v>
      </c>
      <c r="N20" s="54">
        <v>117408</v>
      </c>
      <c r="O20">
        <v>37.799999999999997</v>
      </c>
      <c r="P20" s="54">
        <v>122853</v>
      </c>
      <c r="Q20">
        <v>39.6</v>
      </c>
      <c r="V20" s="54">
        <v>22112</v>
      </c>
    </row>
    <row r="21" spans="1:25" ht="17" thickTop="1">
      <c r="A21" t="s">
        <v>30</v>
      </c>
      <c r="B21" t="s">
        <v>39</v>
      </c>
      <c r="C21" s="33">
        <v>569752</v>
      </c>
      <c r="D21" s="33">
        <v>24244</v>
      </c>
      <c r="E21" s="35">
        <v>3.3628878334591001</v>
      </c>
      <c r="F21" s="33">
        <v>545508</v>
      </c>
      <c r="G21" s="35">
        <v>75.667473034755204</v>
      </c>
      <c r="H21" s="33">
        <v>8406</v>
      </c>
      <c r="I21" s="35">
        <v>1.2185805261960001</v>
      </c>
      <c r="J21" s="33">
        <v>4208</v>
      </c>
      <c r="K21" s="35">
        <v>0.61001509091515305</v>
      </c>
      <c r="L21" s="33">
        <v>109707</v>
      </c>
      <c r="M21" s="35">
        <v>15.9037370672597</v>
      </c>
      <c r="N21" s="33">
        <v>180611</v>
      </c>
      <c r="O21" s="35">
        <v>26.182375376729301</v>
      </c>
      <c r="P21" s="33">
        <v>225121</v>
      </c>
      <c r="Q21" s="35">
        <v>32.634792605016699</v>
      </c>
      <c r="R21" s="33">
        <v>1908</v>
      </c>
      <c r="S21" s="35">
        <v>0.27659429502521699</v>
      </c>
      <c r="T21" s="33">
        <v>15547</v>
      </c>
      <c r="U21" s="35">
        <v>2.2537796146525402</v>
      </c>
      <c r="V21" s="33">
        <v>35264</v>
      </c>
      <c r="W21" s="35">
        <v>4.89147321230414</v>
      </c>
      <c r="X21" s="71">
        <v>95635</v>
      </c>
      <c r="Y21" s="35">
        <v>99.808647461703302</v>
      </c>
    </row>
    <row r="22" spans="1:25">
      <c r="A22" t="s">
        <v>29</v>
      </c>
      <c r="B22" t="s">
        <v>39</v>
      </c>
      <c r="C22" s="44">
        <v>510705</v>
      </c>
      <c r="D22" s="44">
        <v>34709</v>
      </c>
      <c r="E22" s="91">
        <v>6.8</v>
      </c>
      <c r="F22" s="44">
        <v>475996</v>
      </c>
      <c r="G22" s="91">
        <v>93.2</v>
      </c>
      <c r="H22" s="44">
        <v>6464</v>
      </c>
      <c r="I22" s="91">
        <v>1.4</v>
      </c>
      <c r="J22" s="44">
        <v>3129</v>
      </c>
      <c r="K22" s="91">
        <v>0.7</v>
      </c>
      <c r="L22" s="44">
        <v>92359</v>
      </c>
      <c r="M22" s="91">
        <v>19.399999999999999</v>
      </c>
      <c r="N22" s="44">
        <v>172309</v>
      </c>
      <c r="O22" s="91">
        <v>36.200000000000003</v>
      </c>
      <c r="P22" s="44">
        <v>185110</v>
      </c>
      <c r="Q22" s="91">
        <v>38.9</v>
      </c>
      <c r="R22" s="44">
        <v>1288</v>
      </c>
      <c r="S22" s="91">
        <v>0.3</v>
      </c>
      <c r="T22" s="44">
        <v>15337</v>
      </c>
      <c r="U22" s="91">
        <v>3.2</v>
      </c>
      <c r="V22" s="44">
        <v>35570</v>
      </c>
      <c r="W22" s="91">
        <v>7</v>
      </c>
      <c r="X22" s="92">
        <v>95507</v>
      </c>
      <c r="Y22" s="91">
        <v>99.9</v>
      </c>
    </row>
    <row r="23" spans="1:25" ht="17" thickBot="1">
      <c r="A23" t="s">
        <v>20</v>
      </c>
      <c r="B23" t="s">
        <v>39</v>
      </c>
      <c r="C23" s="21">
        <v>534109</v>
      </c>
      <c r="D23" s="21">
        <v>55230</v>
      </c>
      <c r="E23" s="25">
        <v>10.3406</v>
      </c>
      <c r="F23" s="21">
        <v>478879</v>
      </c>
      <c r="G23" s="25">
        <v>89.659400000000005</v>
      </c>
      <c r="H23" s="21">
        <v>6643</v>
      </c>
      <c r="I23" s="25">
        <v>1.3872</v>
      </c>
      <c r="J23" s="21">
        <v>3069</v>
      </c>
      <c r="K23" s="25">
        <v>0.64090000000000003</v>
      </c>
      <c r="L23" s="21">
        <v>90803</v>
      </c>
      <c r="M23" s="25">
        <v>18.961600000000001</v>
      </c>
      <c r="N23" s="21">
        <v>173991</v>
      </c>
      <c r="O23" s="25">
        <v>36.332999999999998</v>
      </c>
      <c r="P23" s="21">
        <v>184088</v>
      </c>
      <c r="Q23" s="25">
        <v>38.441400000000002</v>
      </c>
      <c r="R23" s="21">
        <v>1328</v>
      </c>
      <c r="S23" s="25">
        <v>0.27729999999999999</v>
      </c>
      <c r="T23" s="21">
        <v>18957</v>
      </c>
      <c r="U23" s="25">
        <v>3.9586000000000001</v>
      </c>
      <c r="V23" s="21">
        <v>34265</v>
      </c>
      <c r="W23" s="25">
        <v>6.4154</v>
      </c>
      <c r="X23" s="72">
        <v>96360</v>
      </c>
      <c r="Y23" s="93">
        <v>99.989000000000004</v>
      </c>
    </row>
    <row r="24" spans="1:25" ht="17" thickBot="1">
      <c r="A24" t="s">
        <v>19</v>
      </c>
      <c r="B24" t="s">
        <v>39</v>
      </c>
      <c r="C24" s="66"/>
      <c r="D24" s="26">
        <v>69260</v>
      </c>
      <c r="E24" s="62"/>
      <c r="F24" s="58">
        <v>486985</v>
      </c>
      <c r="G24" s="62"/>
      <c r="H24" s="59" t="s">
        <v>37</v>
      </c>
      <c r="I24" s="60" t="s">
        <v>37</v>
      </c>
      <c r="J24" t="s">
        <v>37</v>
      </c>
      <c r="K24" s="60" t="s">
        <v>37</v>
      </c>
      <c r="L24" s="59" t="s">
        <v>37</v>
      </c>
      <c r="M24" s="60" t="s">
        <v>37</v>
      </c>
      <c r="N24" t="s">
        <v>37</v>
      </c>
      <c r="O24" s="60" t="s">
        <v>37</v>
      </c>
      <c r="P24" s="59" t="s">
        <v>37</v>
      </c>
      <c r="Q24" s="60" t="s">
        <v>37</v>
      </c>
      <c r="R24" t="s">
        <v>37</v>
      </c>
      <c r="S24" s="60" t="s">
        <v>37</v>
      </c>
      <c r="T24" s="61" t="s">
        <v>37</v>
      </c>
      <c r="U24" s="62" t="s">
        <v>37</v>
      </c>
      <c r="V24" s="70" t="s">
        <v>37</v>
      </c>
      <c r="W24" s="62" t="s">
        <v>37</v>
      </c>
      <c r="X24" s="27">
        <v>97632</v>
      </c>
      <c r="Y24" s="28">
        <v>99.986000000000004</v>
      </c>
    </row>
    <row r="25" spans="1:25">
      <c r="A25" t="s">
        <v>34</v>
      </c>
      <c r="B25" t="s">
        <v>39</v>
      </c>
      <c r="C25" s="50">
        <v>60046</v>
      </c>
      <c r="D25" s="50">
        <v>7401</v>
      </c>
      <c r="E25" s="51"/>
      <c r="F25" s="70"/>
      <c r="G25" s="62"/>
      <c r="H25" s="50">
        <v>653</v>
      </c>
      <c r="I25" s="51">
        <v>1.02</v>
      </c>
      <c r="J25" s="50">
        <v>192</v>
      </c>
      <c r="K25" s="51">
        <v>0.36</v>
      </c>
      <c r="L25" s="50">
        <v>6803</v>
      </c>
      <c r="M25" s="51">
        <v>12.92</v>
      </c>
      <c r="N25" s="50">
        <v>13631</v>
      </c>
      <c r="O25" s="51">
        <v>25.89</v>
      </c>
      <c r="P25" s="50">
        <v>28127</v>
      </c>
      <c r="Q25" s="51">
        <v>53.43</v>
      </c>
      <c r="R25" s="50">
        <v>59</v>
      </c>
      <c r="S25" s="51">
        <v>0.11</v>
      </c>
      <c r="T25" s="50">
        <v>3180</v>
      </c>
      <c r="U25" s="51">
        <v>6.04</v>
      </c>
      <c r="V25" s="50">
        <v>2452</v>
      </c>
      <c r="W25" s="51">
        <v>4.66</v>
      </c>
      <c r="X25" s="50">
        <v>84829</v>
      </c>
      <c r="Y25" s="51">
        <v>88.74</v>
      </c>
    </row>
    <row r="26" spans="1:25" ht="17" thickBot="1">
      <c r="C26" s="59"/>
      <c r="D26" s="59"/>
      <c r="E26" s="62"/>
      <c r="F26" s="59"/>
      <c r="G26" s="62"/>
      <c r="H26" s="59"/>
      <c r="I26" s="60"/>
      <c r="K26" s="60"/>
      <c r="M26" s="60"/>
      <c r="O26" s="60"/>
      <c r="Q26" s="60"/>
      <c r="S26" s="60"/>
      <c r="T26" s="61"/>
      <c r="U26" s="62"/>
      <c r="V26" s="59"/>
      <c r="X26" s="66"/>
      <c r="Y26" s="61"/>
    </row>
    <row r="27" spans="1:25" ht="18" thickTop="1" thickBot="1">
      <c r="H27" s="108"/>
      <c r="I27" s="108"/>
      <c r="J27" s="108"/>
      <c r="K27" s="108"/>
      <c r="L27" s="108"/>
      <c r="M27" s="108"/>
      <c r="N27" s="108"/>
      <c r="O27" s="108"/>
      <c r="P27" s="109"/>
    </row>
    <row r="28" spans="1:25" ht="18" thickTop="1" thickBot="1">
      <c r="G28" s="110"/>
      <c r="H28" s="54"/>
      <c r="I28" s="54"/>
      <c r="J28" s="54"/>
      <c r="K28" s="54"/>
      <c r="L28" s="54"/>
      <c r="M28" s="53"/>
      <c r="N28" s="54"/>
      <c r="O28" s="54"/>
      <c r="P28" s="111"/>
    </row>
    <row r="29" spans="1:25" ht="18" thickTop="1" thickBot="1"/>
    <row r="30" spans="1:25" ht="18" thickTop="1" thickBot="1">
      <c r="H30" s="108"/>
      <c r="I30" s="108"/>
      <c r="J30" s="108"/>
      <c r="K30" s="108"/>
      <c r="L30" s="108"/>
      <c r="M30" s="108"/>
      <c r="N30" s="108"/>
      <c r="O30" s="108"/>
      <c r="P30" s="109"/>
    </row>
    <row r="31" spans="1:25" ht="18" thickTop="1" thickBot="1">
      <c r="G31" s="110"/>
      <c r="H31" s="53"/>
      <c r="I31" s="53"/>
      <c r="J31" s="54"/>
      <c r="K31" s="54"/>
      <c r="L31" s="54"/>
      <c r="M31" s="53"/>
      <c r="N31" s="54"/>
      <c r="O31" s="53"/>
      <c r="P31" s="55"/>
    </row>
    <row r="32" spans="1:25" ht="17" thickTop="1"/>
  </sheetData>
  <sortState xmlns:xlrd2="http://schemas.microsoft.com/office/spreadsheetml/2017/richdata2" ref="A19:Z27">
    <sortCondition descending="1" ref="Z19:Z27"/>
  </sortState>
  <mergeCells count="30">
    <mergeCell ref="X4:X5"/>
    <mergeCell ref="Y4:Y5"/>
    <mergeCell ref="H5:I5"/>
    <mergeCell ref="J5:K5"/>
    <mergeCell ref="L5:M5"/>
    <mergeCell ref="N5:O5"/>
    <mergeCell ref="P5:Q5"/>
    <mergeCell ref="R5:S5"/>
    <mergeCell ref="T5:U5"/>
    <mergeCell ref="V4:W5"/>
    <mergeCell ref="B4:B5"/>
    <mergeCell ref="C4:C5"/>
    <mergeCell ref="D4:E5"/>
    <mergeCell ref="F4:G5"/>
    <mergeCell ref="H4:U4"/>
    <mergeCell ref="B17:B18"/>
    <mergeCell ref="C17:C18"/>
    <mergeCell ref="D17:E18"/>
    <mergeCell ref="F17:G18"/>
    <mergeCell ref="H17:U17"/>
    <mergeCell ref="V17:W18"/>
    <mergeCell ref="X17:X18"/>
    <mergeCell ref="Y17:Y18"/>
    <mergeCell ref="H18:I18"/>
    <mergeCell ref="J18:K18"/>
    <mergeCell ref="L18:M18"/>
    <mergeCell ref="N18:O18"/>
    <mergeCell ref="P18:Q18"/>
    <mergeCell ref="R18:S18"/>
    <mergeCell ref="T18:U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4852C-8650-BE46-920D-6C4FF04BFE17}">
  <dimension ref="A3:Y37"/>
  <sheetViews>
    <sheetView zoomScale="101" workbookViewId="0">
      <selection activeCell="L18" activeCellId="1" sqref="L5:M12 L18:M25"/>
    </sheetView>
  </sheetViews>
  <sheetFormatPr baseColWidth="10" defaultRowHeight="16"/>
  <sheetData>
    <row r="3" spans="1:25" ht="17" thickBot="1"/>
    <row r="4" spans="1:25" s="2" customFormat="1" ht="25" customHeight="1">
      <c r="A4" s="1"/>
      <c r="B4" s="191" t="s">
        <v>0</v>
      </c>
      <c r="C4" s="193" t="s">
        <v>21</v>
      </c>
      <c r="D4" s="181" t="s">
        <v>4</v>
      </c>
      <c r="E4" s="182"/>
      <c r="F4" s="181" t="s">
        <v>3</v>
      </c>
      <c r="G4" s="182"/>
      <c r="H4" s="195" t="s">
        <v>22</v>
      </c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7"/>
      <c r="V4" s="181" t="s">
        <v>23</v>
      </c>
      <c r="W4" s="182"/>
      <c r="X4" s="186" t="s">
        <v>6</v>
      </c>
      <c r="Y4" s="188" t="s">
        <v>7</v>
      </c>
    </row>
    <row r="5" spans="1:25" s="2" customFormat="1" ht="25" customHeight="1">
      <c r="A5" s="1"/>
      <c r="B5" s="192"/>
      <c r="C5" s="194"/>
      <c r="D5" s="183"/>
      <c r="E5" s="184"/>
      <c r="F5" s="183"/>
      <c r="G5" s="184"/>
      <c r="H5" s="180" t="s">
        <v>8</v>
      </c>
      <c r="I5" s="176"/>
      <c r="J5" s="190" t="s">
        <v>9</v>
      </c>
      <c r="K5" s="176"/>
      <c r="L5" s="175" t="s">
        <v>10</v>
      </c>
      <c r="M5" s="176"/>
      <c r="N5" s="175" t="s">
        <v>11</v>
      </c>
      <c r="O5" s="176"/>
      <c r="P5" s="175" t="s">
        <v>12</v>
      </c>
      <c r="Q5" s="176"/>
      <c r="R5" s="175" t="s">
        <v>13</v>
      </c>
      <c r="S5" s="176"/>
      <c r="T5" s="175" t="s">
        <v>14</v>
      </c>
      <c r="U5" s="179"/>
      <c r="V5" s="183"/>
      <c r="W5" s="184"/>
      <c r="X5" s="187"/>
      <c r="Y5" s="189"/>
    </row>
    <row r="6" spans="1:25" s="2" customFormat="1" ht="15" customHeight="1" thickBot="1">
      <c r="A6" s="1"/>
      <c r="B6" s="3"/>
      <c r="C6" s="4"/>
      <c r="D6" s="5" t="s">
        <v>15</v>
      </c>
      <c r="E6" s="9" t="s">
        <v>17</v>
      </c>
      <c r="F6" s="5" t="s">
        <v>15</v>
      </c>
      <c r="G6" s="9" t="s">
        <v>17</v>
      </c>
      <c r="H6" s="5" t="s">
        <v>15</v>
      </c>
      <c r="I6" s="6" t="s">
        <v>16</v>
      </c>
      <c r="J6" s="7" t="s">
        <v>15</v>
      </c>
      <c r="K6" s="6" t="s">
        <v>16</v>
      </c>
      <c r="L6" s="7" t="s">
        <v>15</v>
      </c>
      <c r="M6" s="6" t="s">
        <v>16</v>
      </c>
      <c r="N6" s="7" t="s">
        <v>15</v>
      </c>
      <c r="O6" s="6" t="s">
        <v>16</v>
      </c>
      <c r="P6" s="7" t="s">
        <v>15</v>
      </c>
      <c r="Q6" s="6" t="s">
        <v>16</v>
      </c>
      <c r="R6" s="7" t="s">
        <v>15</v>
      </c>
      <c r="S6" s="6" t="s">
        <v>16</v>
      </c>
      <c r="T6" s="7" t="s">
        <v>15</v>
      </c>
      <c r="U6" s="8" t="s">
        <v>16</v>
      </c>
      <c r="V6" s="7" t="s">
        <v>15</v>
      </c>
      <c r="W6" s="9" t="s">
        <v>17</v>
      </c>
      <c r="X6" s="10"/>
      <c r="Y6" s="11"/>
    </row>
    <row r="7" spans="1:25" ht="18" thickTop="1" thickBot="1">
      <c r="A7" t="s">
        <v>35</v>
      </c>
      <c r="B7" t="s">
        <v>36</v>
      </c>
      <c r="C7" s="13">
        <v>3711</v>
      </c>
      <c r="D7" s="55" t="s">
        <v>37</v>
      </c>
      <c r="E7" s="15">
        <v>0</v>
      </c>
      <c r="F7" s="54">
        <v>3711</v>
      </c>
      <c r="G7" s="15">
        <v>100</v>
      </c>
      <c r="H7" s="53">
        <v>14</v>
      </c>
      <c r="I7" s="15">
        <v>0.4</v>
      </c>
      <c r="J7" s="53">
        <v>13</v>
      </c>
      <c r="K7" s="15" t="s">
        <v>48</v>
      </c>
      <c r="L7" s="53">
        <v>429</v>
      </c>
      <c r="M7" s="15">
        <v>11.6</v>
      </c>
      <c r="N7" s="54">
        <v>1772</v>
      </c>
      <c r="O7" s="15">
        <v>47.7</v>
      </c>
      <c r="P7" s="54">
        <v>1307</v>
      </c>
      <c r="Q7" s="15">
        <v>35.200000000000003</v>
      </c>
      <c r="R7" s="14"/>
      <c r="S7" s="15"/>
      <c r="T7" s="13"/>
      <c r="U7" s="15"/>
      <c r="V7" s="53">
        <v>48</v>
      </c>
      <c r="W7" s="15">
        <v>1.3</v>
      </c>
    </row>
    <row r="8" spans="1:25" ht="17" thickTop="1">
      <c r="A8" t="s">
        <v>30</v>
      </c>
      <c r="B8" t="s">
        <v>36</v>
      </c>
      <c r="C8" s="33">
        <v>6419</v>
      </c>
      <c r="D8" s="30">
        <v>198</v>
      </c>
      <c r="E8" s="35">
        <v>3.1</v>
      </c>
      <c r="F8" s="30">
        <v>6221</v>
      </c>
      <c r="G8" s="35">
        <v>96.9</v>
      </c>
      <c r="H8" s="33">
        <v>24</v>
      </c>
      <c r="I8" s="35">
        <v>8.7517777048463002E-2</v>
      </c>
      <c r="J8" s="33">
        <v>19</v>
      </c>
      <c r="K8" s="35">
        <v>6.9284906830033202E-2</v>
      </c>
      <c r="L8" s="33">
        <v>961</v>
      </c>
      <c r="M8" s="35">
        <v>3.5043576559821998</v>
      </c>
      <c r="N8" s="33">
        <v>3272</v>
      </c>
      <c r="O8" s="35">
        <v>11.9315902709405</v>
      </c>
      <c r="P8" s="33">
        <v>1751</v>
      </c>
      <c r="Q8" s="35">
        <v>6.3851511504941101</v>
      </c>
      <c r="R8" s="49" t="s">
        <v>33</v>
      </c>
      <c r="S8" s="35">
        <v>7.2931480873719102E-3</v>
      </c>
      <c r="T8" s="33">
        <v>192</v>
      </c>
      <c r="U8" s="35">
        <v>0.70014221638770402</v>
      </c>
      <c r="V8" s="33">
        <v>222</v>
      </c>
      <c r="W8" s="35">
        <v>0.786620367089505</v>
      </c>
      <c r="X8" s="39">
        <v>4221</v>
      </c>
      <c r="Y8" s="48">
        <v>100</v>
      </c>
    </row>
    <row r="9" spans="1:25">
      <c r="A9" t="s">
        <v>29</v>
      </c>
      <c r="B9" t="s">
        <v>36</v>
      </c>
      <c r="C9" s="40">
        <v>7686</v>
      </c>
      <c r="D9" s="41">
        <v>659</v>
      </c>
      <c r="E9" s="42">
        <v>8.6</v>
      </c>
      <c r="F9" s="41">
        <v>7027</v>
      </c>
      <c r="G9" s="42">
        <v>91.4</v>
      </c>
      <c r="H9" s="41">
        <v>18</v>
      </c>
      <c r="I9" s="43">
        <v>0.3</v>
      </c>
      <c r="J9" s="44">
        <v>19</v>
      </c>
      <c r="K9" s="43">
        <v>0.3</v>
      </c>
      <c r="L9" s="41">
        <v>1117</v>
      </c>
      <c r="M9" s="43">
        <v>15.9</v>
      </c>
      <c r="N9" s="44">
        <v>4217</v>
      </c>
      <c r="O9" s="43">
        <v>60</v>
      </c>
      <c r="P9" s="41">
        <v>1466</v>
      </c>
      <c r="Q9" s="43">
        <v>20.9</v>
      </c>
      <c r="R9" s="44" t="s">
        <v>31</v>
      </c>
      <c r="S9" s="43">
        <v>0</v>
      </c>
      <c r="T9" s="45">
        <v>189</v>
      </c>
      <c r="U9" s="42">
        <v>2.7</v>
      </c>
      <c r="V9" s="41">
        <v>336</v>
      </c>
      <c r="W9" s="42">
        <v>4.4000000000000004</v>
      </c>
      <c r="X9" s="46">
        <v>4134</v>
      </c>
      <c r="Y9" s="47">
        <v>100</v>
      </c>
    </row>
    <row r="10" spans="1:25">
      <c r="A10" t="s">
        <v>20</v>
      </c>
      <c r="B10" t="s">
        <v>36</v>
      </c>
      <c r="C10" s="18">
        <v>5325</v>
      </c>
      <c r="D10" s="19">
        <v>453</v>
      </c>
      <c r="E10" s="24">
        <v>8.5069999999999997</v>
      </c>
      <c r="F10" s="19">
        <v>4872</v>
      </c>
      <c r="G10" s="24">
        <v>91.492999999999995</v>
      </c>
      <c r="H10" s="19">
        <v>10</v>
      </c>
      <c r="I10" s="20">
        <v>0.20530000000000001</v>
      </c>
      <c r="J10" s="21">
        <v>35</v>
      </c>
      <c r="K10" s="20">
        <v>0.71840000000000004</v>
      </c>
      <c r="L10" s="19">
        <v>796</v>
      </c>
      <c r="M10" s="20">
        <v>16.3383</v>
      </c>
      <c r="N10" s="21">
        <v>2563</v>
      </c>
      <c r="O10" s="20">
        <v>52.606699999999996</v>
      </c>
      <c r="P10" s="19">
        <v>1263</v>
      </c>
      <c r="Q10" s="20">
        <v>25.9236</v>
      </c>
      <c r="R10" s="21">
        <v>1</v>
      </c>
      <c r="S10" s="20">
        <v>2.0500000000000001E-2</v>
      </c>
      <c r="T10" s="23">
        <v>204</v>
      </c>
      <c r="U10" s="24">
        <v>4.1871999999999998</v>
      </c>
      <c r="V10" s="19">
        <v>294</v>
      </c>
      <c r="W10" s="24">
        <v>5.5210999999999997</v>
      </c>
      <c r="X10" s="27">
        <v>4081</v>
      </c>
      <c r="Y10" s="28">
        <v>100</v>
      </c>
    </row>
    <row r="11" spans="1:25">
      <c r="A11" t="s">
        <v>19</v>
      </c>
      <c r="B11" t="s">
        <v>36</v>
      </c>
      <c r="C11" s="59">
        <v>5054</v>
      </c>
      <c r="D11" s="19">
        <v>531</v>
      </c>
      <c r="E11" s="62">
        <v>10.5</v>
      </c>
      <c r="F11" s="19">
        <v>4523</v>
      </c>
      <c r="G11" s="62">
        <v>89.5</v>
      </c>
      <c r="H11" s="59" t="s">
        <v>37</v>
      </c>
      <c r="I11" s="60" t="s">
        <v>37</v>
      </c>
      <c r="J11" t="s">
        <v>37</v>
      </c>
      <c r="K11" s="60" t="s">
        <v>37</v>
      </c>
      <c r="L11" t="s">
        <v>37</v>
      </c>
      <c r="M11" s="60" t="s">
        <v>37</v>
      </c>
      <c r="N11" t="s">
        <v>37</v>
      </c>
      <c r="O11" s="60" t="s">
        <v>37</v>
      </c>
      <c r="P11" t="s">
        <v>37</v>
      </c>
      <c r="Q11" s="60" t="s">
        <v>37</v>
      </c>
      <c r="R11" t="s">
        <v>37</v>
      </c>
      <c r="S11" s="60" t="s">
        <v>37</v>
      </c>
      <c r="T11" s="61" t="s">
        <v>37</v>
      </c>
      <c r="U11" s="62" t="s">
        <v>37</v>
      </c>
      <c r="V11" s="59" t="s">
        <v>37</v>
      </c>
      <c r="W11" t="s">
        <v>37</v>
      </c>
      <c r="X11" s="27">
        <v>4145</v>
      </c>
      <c r="Y11" s="28">
        <v>100</v>
      </c>
    </row>
    <row r="12" spans="1:25">
      <c r="A12" t="s">
        <v>34</v>
      </c>
      <c r="B12" t="s">
        <v>36</v>
      </c>
      <c r="C12" s="50">
        <v>642</v>
      </c>
      <c r="D12" s="50">
        <v>51</v>
      </c>
      <c r="E12" s="51">
        <v>7.9</v>
      </c>
      <c r="F12">
        <v>591</v>
      </c>
      <c r="G12">
        <v>92.1</v>
      </c>
      <c r="H12" s="50">
        <v>0</v>
      </c>
      <c r="I12" s="51">
        <v>0</v>
      </c>
      <c r="J12" s="50">
        <v>6</v>
      </c>
      <c r="K12" s="51">
        <v>1.02</v>
      </c>
      <c r="L12" s="50">
        <v>64</v>
      </c>
      <c r="M12" s="51">
        <v>10.83</v>
      </c>
      <c r="N12" s="50">
        <v>125</v>
      </c>
      <c r="O12" s="51">
        <v>21.15</v>
      </c>
      <c r="P12" s="50">
        <v>337</v>
      </c>
      <c r="Q12" s="51">
        <v>57.02</v>
      </c>
      <c r="R12" s="50">
        <v>0</v>
      </c>
      <c r="S12" s="51">
        <v>0</v>
      </c>
      <c r="T12" s="50">
        <v>59</v>
      </c>
      <c r="U12" s="51">
        <v>9.98</v>
      </c>
      <c r="V12" s="50">
        <v>29</v>
      </c>
      <c r="W12" s="51">
        <v>4.91</v>
      </c>
      <c r="X12" s="50">
        <v>3387</v>
      </c>
      <c r="Y12" s="51">
        <v>83.26</v>
      </c>
    </row>
    <row r="16" spans="1:25" ht="17" thickBot="1"/>
    <row r="17" spans="1:25" s="2" customFormat="1" ht="25" customHeight="1">
      <c r="A17" s="1"/>
      <c r="B17" s="191" t="s">
        <v>0</v>
      </c>
      <c r="C17" s="193" t="s">
        <v>21</v>
      </c>
      <c r="D17" s="181" t="s">
        <v>4</v>
      </c>
      <c r="E17" s="182"/>
      <c r="F17" s="181" t="s">
        <v>3</v>
      </c>
      <c r="G17" s="182"/>
      <c r="H17" s="195" t="s">
        <v>22</v>
      </c>
      <c r="I17" s="196"/>
      <c r="J17" s="196"/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7"/>
      <c r="V17" s="181" t="s">
        <v>23</v>
      </c>
      <c r="W17" s="182"/>
      <c r="X17" s="186" t="s">
        <v>6</v>
      </c>
      <c r="Y17" s="188" t="s">
        <v>7</v>
      </c>
    </row>
    <row r="18" spans="1:25" s="2" customFormat="1" ht="25" customHeight="1">
      <c r="A18" s="1"/>
      <c r="B18" s="192"/>
      <c r="C18" s="194"/>
      <c r="D18" s="183"/>
      <c r="E18" s="184"/>
      <c r="F18" s="183"/>
      <c r="G18" s="184"/>
      <c r="H18" s="180" t="s">
        <v>8</v>
      </c>
      <c r="I18" s="176"/>
      <c r="J18" s="190" t="s">
        <v>9</v>
      </c>
      <c r="K18" s="176"/>
      <c r="L18" s="175" t="s">
        <v>10</v>
      </c>
      <c r="M18" s="176"/>
      <c r="N18" s="175" t="s">
        <v>11</v>
      </c>
      <c r="O18" s="176"/>
      <c r="P18" s="175" t="s">
        <v>12</v>
      </c>
      <c r="Q18" s="176"/>
      <c r="R18" s="175" t="s">
        <v>13</v>
      </c>
      <c r="S18" s="176"/>
      <c r="T18" s="175" t="s">
        <v>14</v>
      </c>
      <c r="U18" s="179"/>
      <c r="V18" s="183"/>
      <c r="W18" s="184"/>
      <c r="X18" s="187"/>
      <c r="Y18" s="189"/>
    </row>
    <row r="19" spans="1:25" s="2" customFormat="1" ht="15" customHeight="1" thickBot="1">
      <c r="A19" s="1"/>
      <c r="B19" s="3"/>
      <c r="C19" s="4"/>
      <c r="D19" s="5" t="s">
        <v>15</v>
      </c>
      <c r="E19" s="9" t="s">
        <v>17</v>
      </c>
      <c r="F19" s="5" t="s">
        <v>15</v>
      </c>
      <c r="G19" s="9" t="s">
        <v>17</v>
      </c>
      <c r="H19" s="5" t="s">
        <v>15</v>
      </c>
      <c r="I19" s="6" t="s">
        <v>16</v>
      </c>
      <c r="J19" s="7" t="s">
        <v>15</v>
      </c>
      <c r="K19" s="6" t="s">
        <v>16</v>
      </c>
      <c r="L19" s="7" t="s">
        <v>15</v>
      </c>
      <c r="M19" s="6" t="s">
        <v>16</v>
      </c>
      <c r="N19" s="7" t="s">
        <v>15</v>
      </c>
      <c r="O19" s="6" t="s">
        <v>16</v>
      </c>
      <c r="P19" s="7" t="s">
        <v>15</v>
      </c>
      <c r="Q19" s="6" t="s">
        <v>16</v>
      </c>
      <c r="R19" s="7" t="s">
        <v>15</v>
      </c>
      <c r="S19" s="6" t="s">
        <v>16</v>
      </c>
      <c r="T19" s="7" t="s">
        <v>15</v>
      </c>
      <c r="U19" s="8" t="s">
        <v>16</v>
      </c>
      <c r="V19" s="7" t="s">
        <v>15</v>
      </c>
      <c r="W19" s="9" t="s">
        <v>17</v>
      </c>
      <c r="X19" s="10"/>
      <c r="Y19" s="11"/>
    </row>
    <row r="20" spans="1:25" ht="18" thickTop="1" thickBot="1">
      <c r="A20" t="s">
        <v>35</v>
      </c>
      <c r="B20" t="s">
        <v>39</v>
      </c>
      <c r="C20" s="56">
        <v>74836</v>
      </c>
      <c r="D20" s="111">
        <v>2375</v>
      </c>
      <c r="F20" s="54">
        <v>72461</v>
      </c>
      <c r="H20" s="54">
        <v>1615</v>
      </c>
      <c r="I20" s="67">
        <v>2.2000000000000002</v>
      </c>
      <c r="J20" s="54">
        <v>1535</v>
      </c>
      <c r="K20" s="67">
        <v>2.1</v>
      </c>
      <c r="L20" s="54">
        <v>13838</v>
      </c>
      <c r="M20" s="67">
        <v>18.5</v>
      </c>
      <c r="N20" s="54">
        <v>37344</v>
      </c>
      <c r="O20" s="67">
        <v>49.9</v>
      </c>
      <c r="P20" s="54">
        <v>27876</v>
      </c>
      <c r="Q20" s="125">
        <v>37.200000000000003</v>
      </c>
      <c r="V20" s="54">
        <v>5043</v>
      </c>
    </row>
    <row r="21" spans="1:25" ht="17" thickTop="1">
      <c r="A21" t="s">
        <v>30</v>
      </c>
      <c r="B21" t="s">
        <v>39</v>
      </c>
      <c r="C21" s="33">
        <v>151176</v>
      </c>
      <c r="D21" s="33">
        <v>6865</v>
      </c>
      <c r="E21" s="35">
        <v>0.95224488437125498</v>
      </c>
      <c r="F21" s="33">
        <v>144311</v>
      </c>
      <c r="G21" s="35">
        <v>20.017394247414401</v>
      </c>
      <c r="H21" s="33">
        <v>2406</v>
      </c>
      <c r="I21" s="35">
        <v>0.34878714561356</v>
      </c>
      <c r="J21" s="33">
        <v>763</v>
      </c>
      <c r="K21" s="35">
        <v>0.11060872489740101</v>
      </c>
      <c r="L21" s="33">
        <v>29275</v>
      </c>
      <c r="M21" s="35">
        <v>4.2438668694251698</v>
      </c>
      <c r="N21" s="33">
        <v>57387</v>
      </c>
      <c r="O21" s="35">
        <v>8.3191387885807693</v>
      </c>
      <c r="P21" s="33">
        <v>49930</v>
      </c>
      <c r="Q21" s="35">
        <v>7.2381305820802302</v>
      </c>
      <c r="R21" s="33">
        <v>481</v>
      </c>
      <c r="S21" s="35">
        <v>6.9728436010025804E-2</v>
      </c>
      <c r="T21" s="33">
        <v>4069</v>
      </c>
      <c r="U21" s="35">
        <v>0.58986487759832695</v>
      </c>
      <c r="V21" s="33">
        <v>7852</v>
      </c>
      <c r="W21" s="35">
        <v>1.0891517599538401</v>
      </c>
      <c r="X21" s="71">
        <v>95635</v>
      </c>
      <c r="Y21" s="35">
        <v>99.808647461703302</v>
      </c>
    </row>
    <row r="22" spans="1:25">
      <c r="A22" t="s">
        <v>29</v>
      </c>
      <c r="B22" t="s">
        <v>39</v>
      </c>
      <c r="C22" s="44">
        <v>133900</v>
      </c>
      <c r="D22" s="44">
        <v>10132</v>
      </c>
      <c r="E22" s="91">
        <v>7.6</v>
      </c>
      <c r="F22" s="44">
        <v>123768</v>
      </c>
      <c r="G22" s="91">
        <v>92.4</v>
      </c>
      <c r="H22" s="44">
        <v>1643</v>
      </c>
      <c r="I22" s="91">
        <v>1.3</v>
      </c>
      <c r="J22" s="44">
        <v>555</v>
      </c>
      <c r="K22" s="91">
        <v>0.4</v>
      </c>
      <c r="L22" s="44">
        <v>22999</v>
      </c>
      <c r="M22" s="91">
        <v>18.600000000000001</v>
      </c>
      <c r="N22" s="44">
        <v>54154</v>
      </c>
      <c r="O22" s="91">
        <v>43.8</v>
      </c>
      <c r="P22" s="44">
        <v>40230</v>
      </c>
      <c r="Q22" s="91">
        <v>32.5</v>
      </c>
      <c r="R22" s="44">
        <v>256</v>
      </c>
      <c r="S22" s="91">
        <v>0.2</v>
      </c>
      <c r="T22" s="44">
        <v>3931</v>
      </c>
      <c r="U22" s="91">
        <v>3.2</v>
      </c>
      <c r="V22" s="44">
        <v>7935</v>
      </c>
      <c r="W22" s="91">
        <v>5.9</v>
      </c>
      <c r="X22" s="92">
        <v>95507</v>
      </c>
      <c r="Y22" s="91">
        <v>99.9</v>
      </c>
    </row>
    <row r="23" spans="1:25" ht="17" thickBot="1">
      <c r="A23" t="s">
        <v>20</v>
      </c>
      <c r="B23" t="s">
        <v>39</v>
      </c>
      <c r="C23" s="21">
        <v>141816</v>
      </c>
      <c r="D23" s="21">
        <v>15966</v>
      </c>
      <c r="E23" s="25">
        <v>11.2583</v>
      </c>
      <c r="F23" s="21">
        <v>125850</v>
      </c>
      <c r="G23" s="25">
        <v>88.741699999999994</v>
      </c>
      <c r="H23" s="21">
        <v>1861</v>
      </c>
      <c r="I23" s="25">
        <v>1.4786999999999999</v>
      </c>
      <c r="J23" s="21">
        <v>581</v>
      </c>
      <c r="K23" s="25">
        <v>0.4617</v>
      </c>
      <c r="L23" s="21">
        <v>23068</v>
      </c>
      <c r="M23" s="25">
        <v>18.329799999999999</v>
      </c>
      <c r="N23" s="21">
        <v>55415</v>
      </c>
      <c r="O23" s="25">
        <v>44.032600000000002</v>
      </c>
      <c r="P23" s="21">
        <v>39857</v>
      </c>
      <c r="Q23" s="25">
        <v>31.670200000000001</v>
      </c>
      <c r="R23" s="21">
        <v>288</v>
      </c>
      <c r="S23" s="25">
        <v>0.2288</v>
      </c>
      <c r="T23" s="21">
        <v>4780</v>
      </c>
      <c r="U23" s="25">
        <v>3.7982</v>
      </c>
      <c r="V23" s="21">
        <v>7800</v>
      </c>
      <c r="W23" s="25">
        <v>5.5000999999999998</v>
      </c>
      <c r="X23" s="72">
        <v>96360</v>
      </c>
      <c r="Y23" s="93">
        <v>99.989000000000004</v>
      </c>
    </row>
    <row r="24" spans="1:25" ht="17" thickBot="1">
      <c r="A24" t="s">
        <v>19</v>
      </c>
      <c r="B24" t="s">
        <v>39</v>
      </c>
      <c r="C24" s="66"/>
      <c r="D24" s="26">
        <v>20236</v>
      </c>
      <c r="E24" s="62"/>
      <c r="F24" s="58">
        <v>128042</v>
      </c>
      <c r="G24" s="62"/>
      <c r="H24" s="59" t="s">
        <v>37</v>
      </c>
      <c r="I24" s="60" t="s">
        <v>37</v>
      </c>
      <c r="J24" t="s">
        <v>37</v>
      </c>
      <c r="K24" s="60" t="s">
        <v>37</v>
      </c>
      <c r="L24" s="59" t="s">
        <v>37</v>
      </c>
      <c r="M24" s="60" t="s">
        <v>37</v>
      </c>
      <c r="N24" t="s">
        <v>37</v>
      </c>
      <c r="O24" s="60" t="s">
        <v>37</v>
      </c>
      <c r="P24" s="59" t="s">
        <v>37</v>
      </c>
      <c r="Q24" s="60" t="s">
        <v>37</v>
      </c>
      <c r="R24" t="s">
        <v>37</v>
      </c>
      <c r="S24" s="60" t="s">
        <v>37</v>
      </c>
      <c r="T24" s="61" t="s">
        <v>37</v>
      </c>
      <c r="U24" s="62" t="s">
        <v>37</v>
      </c>
      <c r="V24" s="70" t="s">
        <v>37</v>
      </c>
      <c r="W24" s="62" t="s">
        <v>37</v>
      </c>
      <c r="X24" s="27">
        <v>97632</v>
      </c>
      <c r="Y24" s="28">
        <v>99.986000000000004</v>
      </c>
    </row>
    <row r="25" spans="1:25">
      <c r="A25" t="s">
        <v>34</v>
      </c>
      <c r="B25" t="s">
        <v>39</v>
      </c>
      <c r="C25" s="50">
        <v>13245</v>
      </c>
      <c r="D25" s="50">
        <v>1787</v>
      </c>
      <c r="E25" s="51"/>
      <c r="F25" s="70"/>
      <c r="G25" s="62"/>
      <c r="H25" s="50">
        <v>135</v>
      </c>
      <c r="I25" s="51">
        <v>0.21</v>
      </c>
      <c r="J25" s="50">
        <v>30</v>
      </c>
      <c r="K25" s="51" t="s">
        <v>32</v>
      </c>
      <c r="L25" s="50">
        <v>1500</v>
      </c>
      <c r="M25" s="51">
        <v>2.34</v>
      </c>
      <c r="N25" s="50">
        <v>3481</v>
      </c>
      <c r="O25" s="51">
        <v>5.43</v>
      </c>
      <c r="P25" s="50">
        <v>5550</v>
      </c>
      <c r="Q25" s="51">
        <v>8.66</v>
      </c>
      <c r="R25" s="50">
        <v>8</v>
      </c>
      <c r="S25" s="51" t="s">
        <v>32</v>
      </c>
      <c r="T25" s="50">
        <v>754</v>
      </c>
      <c r="U25" s="51">
        <v>1.18</v>
      </c>
      <c r="V25" s="50">
        <v>451</v>
      </c>
      <c r="W25" s="51">
        <v>0.7</v>
      </c>
      <c r="X25" s="50">
        <v>84829</v>
      </c>
      <c r="Y25" s="51">
        <v>88.74</v>
      </c>
    </row>
    <row r="26" spans="1:25">
      <c r="C26" s="59"/>
      <c r="D26" s="59"/>
      <c r="E26" s="62"/>
      <c r="F26" s="59"/>
      <c r="Q26" s="60"/>
      <c r="S26" s="60"/>
      <c r="T26" s="61"/>
      <c r="U26" s="62"/>
      <c r="V26" s="59"/>
      <c r="X26" s="66"/>
      <c r="Y26" s="61"/>
    </row>
    <row r="29" spans="1:25" ht="17" thickBot="1"/>
    <row r="30" spans="1:25" ht="18" thickTop="1" thickBot="1">
      <c r="H30" s="108"/>
      <c r="I30" s="108"/>
      <c r="J30" s="108"/>
      <c r="K30" s="108"/>
      <c r="L30" s="108"/>
      <c r="M30" s="108"/>
      <c r="N30" s="108"/>
      <c r="O30" s="108"/>
      <c r="P30" s="109"/>
    </row>
    <row r="31" spans="1:25" ht="18" thickTop="1" thickBot="1">
      <c r="G31" s="110"/>
      <c r="H31" s="54"/>
      <c r="I31" s="54"/>
      <c r="J31" s="54"/>
      <c r="K31" s="54"/>
      <c r="L31" s="54"/>
      <c r="M31" s="53"/>
      <c r="N31" s="54"/>
      <c r="O31" s="54"/>
      <c r="P31" s="111"/>
    </row>
    <row r="32" spans="1:25" ht="18" thickTop="1" thickBot="1">
      <c r="G32" s="110"/>
      <c r="H32" s="54"/>
      <c r="I32" s="54"/>
      <c r="J32" s="54"/>
      <c r="K32" s="54"/>
      <c r="L32" s="54"/>
      <c r="M32" s="53"/>
      <c r="N32" s="54"/>
      <c r="O32" s="54"/>
      <c r="P32" s="111"/>
    </row>
    <row r="33" spans="3:23" ht="18" thickTop="1" thickBot="1"/>
    <row r="34" spans="3:23" ht="18" thickTop="1" thickBot="1">
      <c r="H34" s="108"/>
      <c r="I34" s="108"/>
      <c r="J34" s="108"/>
      <c r="K34" s="108"/>
      <c r="L34" s="108"/>
      <c r="M34" s="108"/>
      <c r="N34" s="108"/>
      <c r="O34" s="108"/>
      <c r="P34" s="109"/>
    </row>
    <row r="35" spans="3:23" ht="18" thickTop="1" thickBot="1">
      <c r="G35" s="110"/>
      <c r="H35" s="53"/>
      <c r="I35" s="53"/>
      <c r="J35" s="54"/>
      <c r="K35" s="54"/>
      <c r="L35" s="54"/>
      <c r="M35" s="53"/>
      <c r="N35" s="54"/>
      <c r="O35" s="53"/>
      <c r="P35" s="55"/>
    </row>
    <row r="36" spans="3:23" ht="18" thickTop="1" thickBot="1">
      <c r="C36" s="50"/>
      <c r="D36" s="50"/>
      <c r="E36" s="51"/>
      <c r="F36" s="50"/>
      <c r="G36" s="110"/>
      <c r="H36" s="53"/>
      <c r="I36" s="53"/>
      <c r="J36" s="53"/>
      <c r="K36" s="54"/>
      <c r="L36" s="54"/>
      <c r="M36" s="53"/>
      <c r="N36" s="54"/>
      <c r="O36" s="53"/>
      <c r="P36" s="55"/>
      <c r="Q36" s="51"/>
      <c r="R36" s="50"/>
      <c r="S36" s="51"/>
      <c r="T36" s="50"/>
      <c r="U36" s="51"/>
      <c r="V36" s="50"/>
      <c r="W36" s="51"/>
    </row>
    <row r="37" spans="3:23" ht="17" thickTop="1"/>
  </sheetData>
  <sortState xmlns:xlrd2="http://schemas.microsoft.com/office/spreadsheetml/2017/richdata2" ref="A19:Z27">
    <sortCondition descending="1" ref="Z19:Z27"/>
  </sortState>
  <mergeCells count="30">
    <mergeCell ref="X4:X5"/>
    <mergeCell ref="Y4:Y5"/>
    <mergeCell ref="H5:I5"/>
    <mergeCell ref="J5:K5"/>
    <mergeCell ref="L5:M5"/>
    <mergeCell ref="N5:O5"/>
    <mergeCell ref="P5:Q5"/>
    <mergeCell ref="R5:S5"/>
    <mergeCell ref="T5:U5"/>
    <mergeCell ref="V4:W5"/>
    <mergeCell ref="B4:B5"/>
    <mergeCell ref="C4:C5"/>
    <mergeCell ref="D4:E5"/>
    <mergeCell ref="F4:G5"/>
    <mergeCell ref="H4:U4"/>
    <mergeCell ref="B17:B18"/>
    <mergeCell ref="C17:C18"/>
    <mergeCell ref="D17:E18"/>
    <mergeCell ref="F17:G18"/>
    <mergeCell ref="H17:U17"/>
    <mergeCell ref="V17:W18"/>
    <mergeCell ref="X17:X18"/>
    <mergeCell ref="Y17:Y18"/>
    <mergeCell ref="H18:I18"/>
    <mergeCell ref="J18:K18"/>
    <mergeCell ref="L18:M18"/>
    <mergeCell ref="N18:O18"/>
    <mergeCell ref="P18:Q18"/>
    <mergeCell ref="R18:S18"/>
    <mergeCell ref="T18:U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482E6-9BC3-3347-B3A0-5FA5E3A1B603}">
  <dimension ref="A3:W37"/>
  <sheetViews>
    <sheetView workbookViewId="0">
      <selection activeCell="H18" activeCellId="1" sqref="H5:I12 H18:I25"/>
    </sheetView>
  </sheetViews>
  <sheetFormatPr baseColWidth="10" defaultRowHeight="16"/>
  <sheetData>
    <row r="3" spans="1:23" ht="17" thickBot="1"/>
    <row r="4" spans="1:23" s="2" customFormat="1" ht="25" customHeight="1">
      <c r="A4" s="1"/>
      <c r="B4" s="191" t="s">
        <v>0</v>
      </c>
      <c r="C4" s="193" t="s">
        <v>24</v>
      </c>
      <c r="D4" s="195" t="s">
        <v>25</v>
      </c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7"/>
      <c r="R4" s="181" t="s">
        <v>26</v>
      </c>
      <c r="S4" s="182"/>
      <c r="T4" s="186" t="s">
        <v>27</v>
      </c>
      <c r="U4" s="188" t="s">
        <v>7</v>
      </c>
    </row>
    <row r="5" spans="1:23" s="2" customFormat="1" ht="25" customHeight="1">
      <c r="A5" s="1"/>
      <c r="B5" s="192"/>
      <c r="C5" s="194"/>
      <c r="D5" s="180" t="s">
        <v>8</v>
      </c>
      <c r="E5" s="176"/>
      <c r="F5" s="190" t="s">
        <v>9</v>
      </c>
      <c r="G5" s="176"/>
      <c r="H5" s="175" t="s">
        <v>10</v>
      </c>
      <c r="I5" s="176"/>
      <c r="J5" s="175" t="s">
        <v>11</v>
      </c>
      <c r="K5" s="176"/>
      <c r="L5" s="175" t="s">
        <v>12</v>
      </c>
      <c r="M5" s="176"/>
      <c r="N5" s="175" t="s">
        <v>13</v>
      </c>
      <c r="O5" s="176"/>
      <c r="P5" s="175" t="s">
        <v>14</v>
      </c>
      <c r="Q5" s="179"/>
      <c r="R5" s="183"/>
      <c r="S5" s="184"/>
      <c r="T5" s="187"/>
      <c r="U5" s="189"/>
    </row>
    <row r="6" spans="1:23" s="2" customFormat="1" ht="15" customHeight="1" thickBot="1">
      <c r="A6" s="1"/>
      <c r="B6" s="3"/>
      <c r="C6" s="4"/>
      <c r="D6" s="5" t="s">
        <v>15</v>
      </c>
      <c r="E6" s="6" t="s">
        <v>16</v>
      </c>
      <c r="F6" s="7" t="s">
        <v>15</v>
      </c>
      <c r="G6" s="6" t="s">
        <v>16</v>
      </c>
      <c r="H6" s="7" t="s">
        <v>15</v>
      </c>
      <c r="I6" s="6" t="s">
        <v>16</v>
      </c>
      <c r="J6" s="7" t="s">
        <v>15</v>
      </c>
      <c r="K6" s="6" t="s">
        <v>16</v>
      </c>
      <c r="L6" s="7" t="s">
        <v>15</v>
      </c>
      <c r="M6" s="6" t="s">
        <v>16</v>
      </c>
      <c r="N6" s="7" t="s">
        <v>15</v>
      </c>
      <c r="O6" s="6" t="s">
        <v>16</v>
      </c>
      <c r="P6" s="7" t="s">
        <v>15</v>
      </c>
      <c r="Q6" s="8" t="s">
        <v>16</v>
      </c>
      <c r="R6" s="7" t="s">
        <v>15</v>
      </c>
      <c r="S6" s="9" t="s">
        <v>28</v>
      </c>
      <c r="T6" s="10"/>
      <c r="U6" s="11"/>
    </row>
    <row r="7" spans="1:23" ht="18" thickTop="1" thickBot="1">
      <c r="A7" t="s">
        <v>35</v>
      </c>
      <c r="B7" t="s">
        <v>36</v>
      </c>
      <c r="C7" s="113">
        <v>37577</v>
      </c>
      <c r="D7" s="114">
        <v>89</v>
      </c>
      <c r="E7" s="15">
        <v>0.2</v>
      </c>
      <c r="F7" s="114">
        <v>362</v>
      </c>
      <c r="G7" s="15">
        <v>1</v>
      </c>
      <c r="H7" s="113">
        <v>7362</v>
      </c>
      <c r="I7" s="15">
        <v>19.600000000000001</v>
      </c>
      <c r="J7" s="113">
        <v>18909</v>
      </c>
      <c r="K7" s="15">
        <v>50.3</v>
      </c>
      <c r="L7" s="113">
        <v>13108</v>
      </c>
      <c r="M7" s="15">
        <v>34.9</v>
      </c>
      <c r="N7" s="13"/>
      <c r="O7" s="15"/>
      <c r="P7" s="14"/>
      <c r="Q7" s="15"/>
      <c r="R7" s="113">
        <v>1113</v>
      </c>
      <c r="S7" s="15">
        <v>3</v>
      </c>
      <c r="T7" s="13"/>
      <c r="U7" s="15"/>
    </row>
    <row r="8" spans="1:23" ht="17" thickTop="1">
      <c r="A8" t="s">
        <v>30</v>
      </c>
      <c r="B8" t="s">
        <v>36</v>
      </c>
      <c r="C8" s="33">
        <v>94638</v>
      </c>
      <c r="D8" s="33">
        <v>234</v>
      </c>
      <c r="E8" s="35">
        <v>0.247257972484626</v>
      </c>
      <c r="F8" s="33">
        <v>844</v>
      </c>
      <c r="G8" s="35">
        <v>0.89181935374796595</v>
      </c>
      <c r="H8" s="33">
        <v>19775</v>
      </c>
      <c r="I8" s="35">
        <v>20.895411990955001</v>
      </c>
      <c r="J8" s="33">
        <v>44903</v>
      </c>
      <c r="K8" s="35">
        <v>47.447114266996302</v>
      </c>
      <c r="L8" s="33">
        <v>26253</v>
      </c>
      <c r="M8" s="35">
        <v>27.7404425283713</v>
      </c>
      <c r="N8" s="33">
        <v>51</v>
      </c>
      <c r="O8" s="35">
        <v>5.38895581056235E-2</v>
      </c>
      <c r="P8" s="33">
        <v>2578</v>
      </c>
      <c r="Q8" s="35">
        <v>2.72406432933917</v>
      </c>
      <c r="R8" s="33">
        <v>4001</v>
      </c>
      <c r="S8" s="35">
        <v>4.2276886662862703</v>
      </c>
      <c r="T8" s="39">
        <v>4221</v>
      </c>
      <c r="U8" s="48">
        <v>100</v>
      </c>
    </row>
    <row r="9" spans="1:23">
      <c r="A9" t="s">
        <v>29</v>
      </c>
      <c r="B9" t="s">
        <v>36</v>
      </c>
      <c r="C9" s="38">
        <v>104735</v>
      </c>
      <c r="D9" s="30">
        <v>234</v>
      </c>
      <c r="E9" s="32">
        <v>0.2</v>
      </c>
      <c r="F9" s="33">
        <v>663</v>
      </c>
      <c r="G9" s="32">
        <v>0.6</v>
      </c>
      <c r="H9" s="33">
        <v>21065</v>
      </c>
      <c r="I9" s="32">
        <v>20.100000000000001</v>
      </c>
      <c r="J9" s="33">
        <v>59476</v>
      </c>
      <c r="K9" s="32">
        <v>56.8</v>
      </c>
      <c r="L9" s="33">
        <v>20591</v>
      </c>
      <c r="M9" s="32">
        <v>19.7</v>
      </c>
      <c r="N9" s="33">
        <v>73</v>
      </c>
      <c r="O9" s="32">
        <v>0.1</v>
      </c>
      <c r="P9" s="34">
        <v>2633</v>
      </c>
      <c r="Q9" s="31">
        <v>2.5</v>
      </c>
      <c r="R9" s="30">
        <v>3632</v>
      </c>
      <c r="S9" s="31">
        <v>3.5</v>
      </c>
      <c r="T9" s="39">
        <v>4134</v>
      </c>
      <c r="U9" s="63">
        <v>100</v>
      </c>
    </row>
    <row r="10" spans="1:23">
      <c r="A10" t="s">
        <v>20</v>
      </c>
      <c r="B10" t="s">
        <v>36</v>
      </c>
      <c r="C10" s="18">
        <v>60821</v>
      </c>
      <c r="D10" s="19">
        <v>153</v>
      </c>
      <c r="E10" s="20">
        <v>0.25159999999999999</v>
      </c>
      <c r="F10" s="21">
        <v>458</v>
      </c>
      <c r="G10" s="20">
        <v>0.753</v>
      </c>
      <c r="H10" s="22">
        <v>12142</v>
      </c>
      <c r="I10" s="20">
        <v>19.9635</v>
      </c>
      <c r="J10" s="21">
        <v>29859</v>
      </c>
      <c r="K10" s="20">
        <v>49.093200000000003</v>
      </c>
      <c r="L10" s="21">
        <v>15821</v>
      </c>
      <c r="M10" s="20">
        <v>26.0124</v>
      </c>
      <c r="N10" s="21">
        <v>52</v>
      </c>
      <c r="O10" s="20">
        <v>8.5500000000000007E-2</v>
      </c>
      <c r="P10" s="23">
        <v>2336</v>
      </c>
      <c r="Q10" s="24">
        <v>3.8407800000000001</v>
      </c>
      <c r="R10" s="26">
        <v>2653</v>
      </c>
      <c r="S10" s="25">
        <v>4.3620000000000001</v>
      </c>
      <c r="T10" s="27">
        <v>4081</v>
      </c>
      <c r="U10" s="64">
        <v>99.706000000000003</v>
      </c>
    </row>
    <row r="11" spans="1:23">
      <c r="A11" t="s">
        <v>19</v>
      </c>
      <c r="B11" t="s">
        <v>36</v>
      </c>
      <c r="C11" s="73">
        <v>50824</v>
      </c>
      <c r="D11" s="73" t="s">
        <v>37</v>
      </c>
      <c r="E11" s="74" t="s">
        <v>37</v>
      </c>
      <c r="F11" s="75" t="s">
        <v>37</v>
      </c>
      <c r="G11" s="74" t="s">
        <v>37</v>
      </c>
      <c r="H11" s="75" t="s">
        <v>37</v>
      </c>
      <c r="I11" s="74" t="s">
        <v>37</v>
      </c>
      <c r="J11" s="75" t="s">
        <v>37</v>
      </c>
      <c r="K11" s="74" t="s">
        <v>37</v>
      </c>
      <c r="L11" s="75" t="s">
        <v>37</v>
      </c>
      <c r="M11" s="74" t="s">
        <v>37</v>
      </c>
      <c r="N11" s="75" t="s">
        <v>37</v>
      </c>
      <c r="O11" s="74" t="s">
        <v>37</v>
      </c>
      <c r="P11" s="76" t="s">
        <v>37</v>
      </c>
      <c r="Q11" s="77" t="s">
        <v>37</v>
      </c>
      <c r="R11" s="73" t="s">
        <v>37</v>
      </c>
      <c r="S11" s="75" t="s">
        <v>37</v>
      </c>
      <c r="T11" s="78">
        <v>4145</v>
      </c>
      <c r="U11" s="79">
        <v>100</v>
      </c>
    </row>
    <row r="12" spans="1:23">
      <c r="A12" t="s">
        <v>34</v>
      </c>
      <c r="B12" t="s">
        <v>36</v>
      </c>
      <c r="C12" s="50">
        <v>6134</v>
      </c>
      <c r="D12" s="50">
        <v>10</v>
      </c>
      <c r="E12" s="51">
        <v>0.16</v>
      </c>
      <c r="F12" s="50">
        <v>49</v>
      </c>
      <c r="G12" s="51">
        <v>0.8</v>
      </c>
      <c r="H12" s="50">
        <v>824</v>
      </c>
      <c r="I12" s="51">
        <v>13.43</v>
      </c>
      <c r="J12" s="50">
        <v>1173</v>
      </c>
      <c r="K12" s="51">
        <v>19.12</v>
      </c>
      <c r="L12" s="50">
        <v>3671</v>
      </c>
      <c r="M12" s="51">
        <v>59.85</v>
      </c>
      <c r="N12" s="50">
        <v>4</v>
      </c>
      <c r="O12" s="51" t="s">
        <v>32</v>
      </c>
      <c r="P12" s="50">
        <v>403</v>
      </c>
      <c r="Q12" s="51">
        <v>6.57</v>
      </c>
      <c r="R12" s="50">
        <v>285</v>
      </c>
      <c r="S12" s="51">
        <v>4.6500000000000004</v>
      </c>
      <c r="T12" s="50">
        <v>3386</v>
      </c>
      <c r="U12" s="51">
        <v>83.24</v>
      </c>
      <c r="W12" s="15"/>
    </row>
    <row r="16" spans="1:23" ht="17" thickBot="1"/>
    <row r="17" spans="1:21" s="2" customFormat="1" ht="25" customHeight="1">
      <c r="A17" s="1"/>
      <c r="B17" s="191" t="s">
        <v>0</v>
      </c>
      <c r="C17" s="193" t="s">
        <v>24</v>
      </c>
      <c r="D17" s="195" t="s">
        <v>25</v>
      </c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  <c r="Q17" s="197"/>
      <c r="R17" s="181" t="s">
        <v>26</v>
      </c>
      <c r="S17" s="182"/>
      <c r="T17" s="186" t="s">
        <v>27</v>
      </c>
      <c r="U17" s="188" t="s">
        <v>7</v>
      </c>
    </row>
    <row r="18" spans="1:21" s="2" customFormat="1" ht="25" customHeight="1">
      <c r="A18" s="1"/>
      <c r="B18" s="192"/>
      <c r="C18" s="194"/>
      <c r="D18" s="180" t="s">
        <v>8</v>
      </c>
      <c r="E18" s="176"/>
      <c r="F18" s="190" t="s">
        <v>9</v>
      </c>
      <c r="G18" s="176"/>
      <c r="H18" s="175" t="s">
        <v>10</v>
      </c>
      <c r="I18" s="176"/>
      <c r="J18" s="175" t="s">
        <v>11</v>
      </c>
      <c r="K18" s="176"/>
      <c r="L18" s="175" t="s">
        <v>12</v>
      </c>
      <c r="M18" s="176"/>
      <c r="N18" s="175" t="s">
        <v>13</v>
      </c>
      <c r="O18" s="176"/>
      <c r="P18" s="175" t="s">
        <v>14</v>
      </c>
      <c r="Q18" s="179"/>
      <c r="R18" s="183"/>
      <c r="S18" s="184"/>
      <c r="T18" s="187"/>
      <c r="U18" s="189"/>
    </row>
    <row r="19" spans="1:21" s="2" customFormat="1" ht="15" customHeight="1" thickBot="1">
      <c r="A19" s="1"/>
      <c r="B19" s="3"/>
      <c r="C19" s="4"/>
      <c r="D19" s="5" t="s">
        <v>15</v>
      </c>
      <c r="E19" s="6" t="s">
        <v>16</v>
      </c>
      <c r="F19" s="7" t="s">
        <v>15</v>
      </c>
      <c r="G19" s="6" t="s">
        <v>16</v>
      </c>
      <c r="H19" s="7" t="s">
        <v>15</v>
      </c>
      <c r="I19" s="6" t="s">
        <v>16</v>
      </c>
      <c r="J19" s="7" t="s">
        <v>15</v>
      </c>
      <c r="K19" s="6" t="s">
        <v>16</v>
      </c>
      <c r="L19" s="7" t="s">
        <v>15</v>
      </c>
      <c r="M19" s="6" t="s">
        <v>16</v>
      </c>
      <c r="N19" s="7" t="s">
        <v>15</v>
      </c>
      <c r="O19" s="6" t="s">
        <v>16</v>
      </c>
      <c r="P19" s="7" t="s">
        <v>15</v>
      </c>
      <c r="Q19" s="8" t="s">
        <v>16</v>
      </c>
      <c r="R19" s="7" t="s">
        <v>15</v>
      </c>
      <c r="S19" s="9" t="s">
        <v>28</v>
      </c>
      <c r="T19" s="10"/>
      <c r="U19" s="11"/>
    </row>
    <row r="20" spans="1:21" ht="18" thickTop="1" thickBot="1">
      <c r="A20" t="s">
        <v>35</v>
      </c>
      <c r="B20" t="s">
        <v>39</v>
      </c>
      <c r="C20" s="113">
        <v>1108910</v>
      </c>
      <c r="D20" s="113">
        <v>28056</v>
      </c>
      <c r="E20" s="67">
        <v>2.5</v>
      </c>
      <c r="F20" s="113">
        <v>20121</v>
      </c>
      <c r="G20" s="67">
        <v>1.8</v>
      </c>
      <c r="H20" s="113">
        <v>241849</v>
      </c>
      <c r="I20" s="67">
        <v>21.8</v>
      </c>
      <c r="J20" s="113">
        <v>491767</v>
      </c>
      <c r="K20" s="67">
        <v>44.3</v>
      </c>
      <c r="L20" s="113">
        <v>361017</v>
      </c>
      <c r="M20" s="125">
        <v>32.6</v>
      </c>
      <c r="R20" s="113">
        <v>77020</v>
      </c>
    </row>
    <row r="21" spans="1:21" ht="18" thickTop="1" thickBot="1">
      <c r="A21" t="s">
        <v>30</v>
      </c>
      <c r="B21" t="s">
        <v>39</v>
      </c>
      <c r="C21" s="33">
        <v>2451475</v>
      </c>
      <c r="D21" s="81">
        <v>33737</v>
      </c>
      <c r="E21" s="83">
        <v>1.3761918844777099</v>
      </c>
      <c r="F21" s="81">
        <v>29555</v>
      </c>
      <c r="G21" s="83">
        <v>1.20560070977677</v>
      </c>
      <c r="H21" s="81">
        <v>549792</v>
      </c>
      <c r="I21" s="83">
        <v>22.426987833855101</v>
      </c>
      <c r="J21" s="81">
        <v>962403</v>
      </c>
      <c r="K21" s="83">
        <v>39.258120111361499</v>
      </c>
      <c r="L21" s="89">
        <v>808997</v>
      </c>
      <c r="M21" s="35">
        <v>33.000418115624299</v>
      </c>
      <c r="N21" s="33">
        <v>5869</v>
      </c>
      <c r="O21" s="35">
        <v>0.23940688769006399</v>
      </c>
      <c r="P21" s="33">
        <v>61122</v>
      </c>
      <c r="Q21" s="35">
        <v>2.4932744572145298</v>
      </c>
      <c r="R21" s="33">
        <v>156536</v>
      </c>
      <c r="S21" s="35">
        <v>6.3853802302695302</v>
      </c>
      <c r="T21" s="71">
        <v>95635</v>
      </c>
      <c r="U21" s="35">
        <v>99.789825900559407</v>
      </c>
    </row>
    <row r="22" spans="1:21" ht="17" thickTop="1">
      <c r="A22" t="s">
        <v>29</v>
      </c>
      <c r="B22" t="s">
        <v>39</v>
      </c>
      <c r="C22" s="65">
        <v>1990555</v>
      </c>
      <c r="D22" s="33">
        <v>27649</v>
      </c>
      <c r="E22" s="35">
        <v>1.4</v>
      </c>
      <c r="F22" s="33">
        <v>22814</v>
      </c>
      <c r="G22" s="35">
        <v>1.1000000000000001</v>
      </c>
      <c r="H22" s="33">
        <v>439105</v>
      </c>
      <c r="I22" s="35">
        <v>22.1</v>
      </c>
      <c r="J22" s="33">
        <v>816002</v>
      </c>
      <c r="K22" s="35">
        <v>41</v>
      </c>
      <c r="L22" s="33">
        <v>618020</v>
      </c>
      <c r="M22" s="35">
        <v>31</v>
      </c>
      <c r="N22" s="33">
        <v>7764</v>
      </c>
      <c r="O22" s="35">
        <v>0.4</v>
      </c>
      <c r="P22" s="33">
        <v>59201</v>
      </c>
      <c r="Q22" s="35" t="s">
        <v>31</v>
      </c>
      <c r="R22" s="33">
        <v>136367</v>
      </c>
      <c r="S22" s="35">
        <v>6.9</v>
      </c>
      <c r="T22" s="71">
        <v>95507</v>
      </c>
      <c r="U22" s="63">
        <v>99.9</v>
      </c>
    </row>
    <row r="23" spans="1:21" ht="17" thickBot="1">
      <c r="A23" t="s">
        <v>20</v>
      </c>
      <c r="B23" t="s">
        <v>39</v>
      </c>
      <c r="C23" s="21">
        <v>1881534</v>
      </c>
      <c r="D23" s="21">
        <v>26874</v>
      </c>
      <c r="E23" s="25">
        <v>1.4282999999999999</v>
      </c>
      <c r="F23" s="21">
        <v>20524</v>
      </c>
      <c r="G23" s="25">
        <v>1.0908</v>
      </c>
      <c r="H23" s="21">
        <v>415237</v>
      </c>
      <c r="I23" s="25">
        <v>22.069099999999999</v>
      </c>
      <c r="J23" s="21">
        <v>779480</v>
      </c>
      <c r="K23" s="25">
        <v>41.427900000000001</v>
      </c>
      <c r="L23" s="21">
        <v>564741</v>
      </c>
      <c r="M23" s="25">
        <v>30.014900000000001</v>
      </c>
      <c r="N23" s="22">
        <v>6856</v>
      </c>
      <c r="O23" s="25">
        <v>0.3644</v>
      </c>
      <c r="P23" s="21">
        <v>67822</v>
      </c>
      <c r="Q23" s="25">
        <v>3.6046100000000001</v>
      </c>
      <c r="R23" s="21">
        <v>133866</v>
      </c>
      <c r="S23" s="25">
        <v>7.1147</v>
      </c>
      <c r="T23" s="72">
        <v>96360</v>
      </c>
      <c r="U23" s="25">
        <v>99.977999999999994</v>
      </c>
    </row>
    <row r="24" spans="1:21">
      <c r="A24" t="s">
        <v>19</v>
      </c>
      <c r="B24" t="s">
        <v>39</v>
      </c>
      <c r="C24" s="66"/>
      <c r="D24" s="59" t="s">
        <v>37</v>
      </c>
      <c r="E24" s="60" t="s">
        <v>37</v>
      </c>
      <c r="F24" t="s">
        <v>37</v>
      </c>
      <c r="G24" s="60" t="s">
        <v>37</v>
      </c>
      <c r="H24" t="s">
        <v>37</v>
      </c>
      <c r="I24" s="60" t="s">
        <v>37</v>
      </c>
      <c r="J24" t="s">
        <v>37</v>
      </c>
      <c r="K24" s="60" t="s">
        <v>37</v>
      </c>
      <c r="L24" t="s">
        <v>37</v>
      </c>
      <c r="M24" s="60" t="s">
        <v>37</v>
      </c>
      <c r="N24" t="s">
        <v>37</v>
      </c>
      <c r="O24" s="60" t="s">
        <v>37</v>
      </c>
      <c r="P24" s="61" t="s">
        <v>37</v>
      </c>
      <c r="Q24" s="62" t="s">
        <v>37</v>
      </c>
      <c r="R24" s="70" t="s">
        <v>37</v>
      </c>
      <c r="S24" s="62" t="s">
        <v>37</v>
      </c>
      <c r="T24" s="27">
        <v>97632</v>
      </c>
      <c r="U24" s="28">
        <v>99.986000000000004</v>
      </c>
    </row>
    <row r="25" spans="1:21">
      <c r="A25" t="s">
        <v>34</v>
      </c>
      <c r="B25" t="s">
        <v>39</v>
      </c>
      <c r="C25" s="50">
        <v>114720</v>
      </c>
      <c r="D25" s="50">
        <v>1693</v>
      </c>
      <c r="E25" s="51">
        <v>1.48</v>
      </c>
      <c r="F25" s="50">
        <v>667</v>
      </c>
      <c r="G25" s="51">
        <v>0.57999999999999996</v>
      </c>
      <c r="H25" s="50">
        <v>17543</v>
      </c>
      <c r="I25" s="51">
        <v>15.29</v>
      </c>
      <c r="J25" s="50">
        <v>34932</v>
      </c>
      <c r="K25" s="51">
        <v>30.45</v>
      </c>
      <c r="L25" s="50">
        <v>52939</v>
      </c>
      <c r="M25" s="51">
        <v>46.15</v>
      </c>
      <c r="N25" s="50">
        <v>261</v>
      </c>
      <c r="O25" s="51">
        <v>0.23</v>
      </c>
      <c r="P25" s="50">
        <v>6685</v>
      </c>
      <c r="Q25" s="51">
        <v>5.83</v>
      </c>
      <c r="R25" s="50">
        <v>5887</v>
      </c>
      <c r="S25" s="51">
        <v>5.13</v>
      </c>
      <c r="T25" s="50">
        <v>84797</v>
      </c>
      <c r="U25" s="51">
        <v>88.7</v>
      </c>
    </row>
    <row r="26" spans="1:21">
      <c r="C26" s="73"/>
      <c r="D26" s="82"/>
      <c r="E26" s="84"/>
      <c r="F26" s="86"/>
      <c r="G26" s="87"/>
      <c r="H26" s="86"/>
      <c r="I26" s="87"/>
      <c r="J26" s="88"/>
      <c r="K26" s="87"/>
      <c r="L26" s="88"/>
      <c r="M26" s="74"/>
      <c r="N26" s="75"/>
      <c r="O26" s="74"/>
      <c r="P26" s="76"/>
      <c r="Q26" s="77"/>
      <c r="R26" s="73"/>
      <c r="S26" s="75"/>
      <c r="T26" s="90"/>
      <c r="U26" s="76"/>
    </row>
    <row r="27" spans="1:21">
      <c r="D27" s="80"/>
      <c r="E27" s="80"/>
      <c r="F27" s="85"/>
      <c r="G27" s="85"/>
      <c r="H27" s="85"/>
      <c r="I27" s="85"/>
      <c r="J27" s="80"/>
      <c r="K27" s="85"/>
      <c r="L27" s="80"/>
    </row>
    <row r="29" spans="1:21">
      <c r="D29" s="120"/>
      <c r="E29" s="120"/>
      <c r="F29" s="120"/>
      <c r="G29" s="120"/>
      <c r="H29" s="120"/>
      <c r="I29" s="120"/>
      <c r="J29" s="120"/>
      <c r="K29" s="120"/>
      <c r="L29" s="120"/>
    </row>
    <row r="30" spans="1:21">
      <c r="C30" s="68"/>
      <c r="D30" s="69"/>
      <c r="E30" s="69"/>
      <c r="F30" s="69"/>
      <c r="G30" s="69"/>
      <c r="H30" s="69"/>
      <c r="I30" s="69"/>
      <c r="J30" s="68"/>
      <c r="K30" s="69"/>
      <c r="L30" s="68"/>
    </row>
    <row r="31" spans="1:21">
      <c r="C31" s="68"/>
      <c r="D31" s="69"/>
      <c r="E31" s="69"/>
      <c r="F31" s="69"/>
      <c r="G31" s="69"/>
      <c r="H31" s="69"/>
      <c r="I31" s="69"/>
      <c r="J31" s="68"/>
      <c r="K31" s="69"/>
      <c r="L31" s="68"/>
    </row>
    <row r="32" spans="1:21">
      <c r="C32" s="120"/>
      <c r="D32" s="85"/>
      <c r="E32" s="85"/>
      <c r="F32" s="85"/>
      <c r="G32" s="85"/>
      <c r="H32" s="85"/>
      <c r="I32" s="85"/>
      <c r="J32" s="80"/>
      <c r="K32" s="85"/>
      <c r="L32" s="80"/>
    </row>
    <row r="35" spans="3:12">
      <c r="C35" s="68"/>
      <c r="D35" s="68"/>
      <c r="E35" s="68"/>
      <c r="F35" s="69"/>
      <c r="G35" s="69"/>
      <c r="H35" s="69"/>
      <c r="I35" s="69"/>
      <c r="J35" s="68"/>
      <c r="K35" s="68"/>
      <c r="L35" s="68"/>
    </row>
    <row r="36" spans="3:12">
      <c r="C36" s="68"/>
      <c r="D36" s="68"/>
      <c r="E36" s="68"/>
      <c r="F36" s="69"/>
      <c r="G36" s="69"/>
      <c r="H36" s="69"/>
      <c r="I36" s="69"/>
      <c r="J36" s="68"/>
      <c r="K36" s="68"/>
      <c r="L36" s="68"/>
    </row>
    <row r="37" spans="3:12">
      <c r="C37" s="120"/>
      <c r="D37" s="80"/>
      <c r="E37" s="80"/>
      <c r="F37" s="85"/>
      <c r="G37" s="85"/>
      <c r="H37" s="85"/>
      <c r="I37" s="85"/>
      <c r="J37" s="80"/>
      <c r="K37" s="85"/>
      <c r="L37" s="80"/>
    </row>
  </sheetData>
  <sortState xmlns:xlrd2="http://schemas.microsoft.com/office/spreadsheetml/2017/richdata2" ref="A19:V27">
    <sortCondition descending="1" ref="V19:V27"/>
  </sortState>
  <mergeCells count="26">
    <mergeCell ref="B4:B5"/>
    <mergeCell ref="C4:C5"/>
    <mergeCell ref="D4:Q4"/>
    <mergeCell ref="R4:S5"/>
    <mergeCell ref="T4:T5"/>
    <mergeCell ref="U4:U5"/>
    <mergeCell ref="D5:E5"/>
    <mergeCell ref="F5:G5"/>
    <mergeCell ref="H5:I5"/>
    <mergeCell ref="J5:K5"/>
    <mergeCell ref="L5:M5"/>
    <mergeCell ref="N5:O5"/>
    <mergeCell ref="P5:Q5"/>
    <mergeCell ref="B17:B18"/>
    <mergeCell ref="C17:C18"/>
    <mergeCell ref="D17:Q17"/>
    <mergeCell ref="R17:S18"/>
    <mergeCell ref="T17:T18"/>
    <mergeCell ref="U17:U18"/>
    <mergeCell ref="D18:E18"/>
    <mergeCell ref="F18:G18"/>
    <mergeCell ref="H18:I18"/>
    <mergeCell ref="J18:K18"/>
    <mergeCell ref="L18:M18"/>
    <mergeCell ref="N18:O18"/>
    <mergeCell ref="P18:Q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2158E-1A46-7C41-AA07-4B5116C7CB91}">
  <dimension ref="A3:W31"/>
  <sheetViews>
    <sheetView workbookViewId="0">
      <selection activeCell="H18" activeCellId="1" sqref="H5:I12 H18:I25"/>
    </sheetView>
  </sheetViews>
  <sheetFormatPr baseColWidth="10" defaultRowHeight="16"/>
  <sheetData>
    <row r="3" spans="1:23" ht="17" thickBot="1"/>
    <row r="4" spans="1:23" s="2" customFormat="1" ht="25" customHeight="1">
      <c r="A4" s="1"/>
      <c r="B4" s="191" t="s">
        <v>0</v>
      </c>
      <c r="C4" s="193" t="s">
        <v>24</v>
      </c>
      <c r="D4" s="195" t="s">
        <v>25</v>
      </c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7"/>
      <c r="R4" s="181" t="s">
        <v>26</v>
      </c>
      <c r="S4" s="182"/>
      <c r="T4" s="186" t="s">
        <v>27</v>
      </c>
      <c r="U4" s="188" t="s">
        <v>7</v>
      </c>
    </row>
    <row r="5" spans="1:23" s="2" customFormat="1" ht="25" customHeight="1">
      <c r="A5" s="1"/>
      <c r="B5" s="192"/>
      <c r="C5" s="194"/>
      <c r="D5" s="180" t="s">
        <v>8</v>
      </c>
      <c r="E5" s="176"/>
      <c r="F5" s="190" t="s">
        <v>9</v>
      </c>
      <c r="G5" s="176"/>
      <c r="H5" s="175" t="s">
        <v>10</v>
      </c>
      <c r="I5" s="176"/>
      <c r="J5" s="175" t="s">
        <v>11</v>
      </c>
      <c r="K5" s="176"/>
      <c r="L5" s="175" t="s">
        <v>12</v>
      </c>
      <c r="M5" s="176"/>
      <c r="N5" s="175" t="s">
        <v>13</v>
      </c>
      <c r="O5" s="176"/>
      <c r="P5" s="175" t="s">
        <v>14</v>
      </c>
      <c r="Q5" s="179"/>
      <c r="R5" s="183"/>
      <c r="S5" s="184"/>
      <c r="T5" s="187"/>
      <c r="U5" s="189"/>
    </row>
    <row r="6" spans="1:23" s="2" customFormat="1" ht="15" customHeight="1" thickBot="1">
      <c r="A6" s="1"/>
      <c r="B6" s="3"/>
      <c r="C6" s="4"/>
      <c r="D6" s="5" t="s">
        <v>15</v>
      </c>
      <c r="E6" s="6" t="s">
        <v>16</v>
      </c>
      <c r="F6" s="7" t="s">
        <v>15</v>
      </c>
      <c r="G6" s="6" t="s">
        <v>16</v>
      </c>
      <c r="H6" s="7" t="s">
        <v>15</v>
      </c>
      <c r="I6" s="6" t="s">
        <v>16</v>
      </c>
      <c r="J6" s="7" t="s">
        <v>15</v>
      </c>
      <c r="K6" s="6" t="s">
        <v>16</v>
      </c>
      <c r="L6" s="7" t="s">
        <v>15</v>
      </c>
      <c r="M6" s="6" t="s">
        <v>16</v>
      </c>
      <c r="N6" s="7" t="s">
        <v>15</v>
      </c>
      <c r="O6" s="6" t="s">
        <v>16</v>
      </c>
      <c r="P6" s="7" t="s">
        <v>15</v>
      </c>
      <c r="Q6" s="8" t="s">
        <v>16</v>
      </c>
      <c r="R6" s="7" t="s">
        <v>15</v>
      </c>
      <c r="S6" s="9" t="s">
        <v>28</v>
      </c>
      <c r="T6" s="10"/>
      <c r="U6" s="11"/>
    </row>
    <row r="7" spans="1:23" ht="18" thickTop="1" thickBot="1">
      <c r="A7" t="s">
        <v>35</v>
      </c>
      <c r="B7" t="s">
        <v>36</v>
      </c>
      <c r="C7" s="54">
        <v>24440</v>
      </c>
      <c r="D7" s="53">
        <v>54</v>
      </c>
      <c r="E7" s="15">
        <v>0.2</v>
      </c>
      <c r="F7" s="53">
        <v>256</v>
      </c>
      <c r="G7" s="15">
        <v>1</v>
      </c>
      <c r="H7" s="54" t="s">
        <v>46</v>
      </c>
      <c r="I7" s="15">
        <v>19.8</v>
      </c>
      <c r="J7" s="54" t="s">
        <v>47</v>
      </c>
      <c r="K7" s="15">
        <v>45.3</v>
      </c>
      <c r="L7" s="54">
        <v>9030</v>
      </c>
      <c r="M7" s="15">
        <v>37</v>
      </c>
      <c r="N7" s="13"/>
      <c r="O7" s="15"/>
      <c r="P7" s="14"/>
      <c r="Q7" s="15"/>
      <c r="R7" s="53">
        <v>724</v>
      </c>
      <c r="S7" s="15">
        <v>3</v>
      </c>
      <c r="T7" s="13"/>
      <c r="U7" s="15"/>
    </row>
    <row r="8" spans="1:23" ht="17" thickTop="1">
      <c r="A8" t="s">
        <v>30</v>
      </c>
      <c r="B8" t="s">
        <v>36</v>
      </c>
      <c r="C8" s="33">
        <v>60081</v>
      </c>
      <c r="D8" s="33">
        <v>139</v>
      </c>
      <c r="E8" s="35">
        <v>0.14687546228787601</v>
      </c>
      <c r="F8" s="33">
        <v>651</v>
      </c>
      <c r="G8" s="35">
        <v>0.68788435934825298</v>
      </c>
      <c r="H8" s="33">
        <v>12901</v>
      </c>
      <c r="I8" s="35">
        <v>13.6319448847186</v>
      </c>
      <c r="J8" s="33">
        <v>25824</v>
      </c>
      <c r="K8" s="35">
        <v>27.287136245482799</v>
      </c>
      <c r="L8" s="33">
        <v>18864</v>
      </c>
      <c r="M8" s="35">
        <v>19.9327965510683</v>
      </c>
      <c r="N8" s="33">
        <v>37</v>
      </c>
      <c r="O8" s="35">
        <v>3.9096346076628798E-2</v>
      </c>
      <c r="P8" s="33">
        <v>1665</v>
      </c>
      <c r="Q8" s="35">
        <v>1.7593355734483</v>
      </c>
      <c r="R8" s="33">
        <v>2757</v>
      </c>
      <c r="S8" s="35">
        <v>2.9132061117098802</v>
      </c>
      <c r="T8" s="39">
        <v>4221</v>
      </c>
      <c r="U8" s="48">
        <v>100</v>
      </c>
    </row>
    <row r="9" spans="1:23">
      <c r="A9" t="s">
        <v>29</v>
      </c>
      <c r="B9" t="s">
        <v>36</v>
      </c>
      <c r="C9" s="38">
        <v>67591</v>
      </c>
      <c r="D9" s="30">
        <v>162</v>
      </c>
      <c r="E9" s="32">
        <v>0.2</v>
      </c>
      <c r="F9" s="33">
        <v>524</v>
      </c>
      <c r="G9" s="32">
        <v>0.8</v>
      </c>
      <c r="H9" s="33">
        <v>14276</v>
      </c>
      <c r="I9" s="32">
        <v>21.1</v>
      </c>
      <c r="J9" s="33">
        <v>36050</v>
      </c>
      <c r="K9" s="32">
        <v>53.3</v>
      </c>
      <c r="L9" s="33">
        <v>14832</v>
      </c>
      <c r="M9" s="32">
        <v>21.9</v>
      </c>
      <c r="N9" s="33">
        <v>48</v>
      </c>
      <c r="O9" s="32">
        <v>0.1</v>
      </c>
      <c r="P9" s="34">
        <v>1699</v>
      </c>
      <c r="Q9" s="31">
        <v>2.5</v>
      </c>
      <c r="R9" s="30">
        <v>2664</v>
      </c>
      <c r="S9" s="31">
        <v>3.9</v>
      </c>
      <c r="T9" s="39">
        <v>4134</v>
      </c>
      <c r="U9" s="63">
        <v>100</v>
      </c>
    </row>
    <row r="10" spans="1:23">
      <c r="A10" t="s">
        <v>20</v>
      </c>
      <c r="B10" t="s">
        <v>36</v>
      </c>
      <c r="C10" s="18">
        <v>38937</v>
      </c>
      <c r="D10" s="19">
        <v>101</v>
      </c>
      <c r="E10" s="20">
        <v>0.25940000000000002</v>
      </c>
      <c r="F10" s="21">
        <v>354</v>
      </c>
      <c r="G10" s="20">
        <v>0.90920000000000001</v>
      </c>
      <c r="H10" s="22">
        <v>8127</v>
      </c>
      <c r="I10" s="20">
        <v>20.872199999999999</v>
      </c>
      <c r="J10" s="21">
        <v>17297</v>
      </c>
      <c r="K10" s="20">
        <v>44.423000000000002</v>
      </c>
      <c r="L10" s="21">
        <v>11477</v>
      </c>
      <c r="M10" s="20">
        <v>29.4758</v>
      </c>
      <c r="N10" s="21">
        <v>32</v>
      </c>
      <c r="O10" s="20">
        <v>8.2199999999999995E-2</v>
      </c>
      <c r="P10" s="23">
        <v>1549</v>
      </c>
      <c r="Q10" s="24">
        <v>3.9782199999999999</v>
      </c>
      <c r="R10" s="26">
        <v>2007</v>
      </c>
      <c r="S10" s="25">
        <v>5.1544999999999996</v>
      </c>
      <c r="T10" s="27">
        <v>4081</v>
      </c>
      <c r="U10" s="64">
        <v>99.706000000000003</v>
      </c>
    </row>
    <row r="11" spans="1:23">
      <c r="A11" t="s">
        <v>19</v>
      </c>
      <c r="B11" t="s">
        <v>36</v>
      </c>
      <c r="C11" s="59">
        <v>32884</v>
      </c>
      <c r="D11" s="59" t="s">
        <v>37</v>
      </c>
      <c r="E11" s="60" t="s">
        <v>37</v>
      </c>
      <c r="F11" t="s">
        <v>37</v>
      </c>
      <c r="G11" s="60" t="s">
        <v>37</v>
      </c>
      <c r="H11" t="s">
        <v>37</v>
      </c>
      <c r="I11" s="60" t="s">
        <v>37</v>
      </c>
      <c r="J11" t="s">
        <v>37</v>
      </c>
      <c r="K11" s="60" t="s">
        <v>37</v>
      </c>
      <c r="L11" t="s">
        <v>37</v>
      </c>
      <c r="M11" s="60" t="s">
        <v>37</v>
      </c>
      <c r="N11" t="s">
        <v>37</v>
      </c>
      <c r="O11" s="60" t="s">
        <v>37</v>
      </c>
      <c r="P11" s="61" t="s">
        <v>37</v>
      </c>
      <c r="Q11" s="62" t="s">
        <v>37</v>
      </c>
      <c r="R11" s="59" t="s">
        <v>37</v>
      </c>
      <c r="S11" t="s">
        <v>37</v>
      </c>
      <c r="T11" s="27">
        <v>4145</v>
      </c>
      <c r="U11" s="28">
        <v>100</v>
      </c>
    </row>
    <row r="12" spans="1:23">
      <c r="A12" t="s">
        <v>34</v>
      </c>
      <c r="B12" t="s">
        <v>36</v>
      </c>
      <c r="C12" s="50">
        <v>4130</v>
      </c>
      <c r="D12" s="50">
        <v>5</v>
      </c>
      <c r="E12" s="51">
        <v>0.12</v>
      </c>
      <c r="F12" s="50">
        <v>30</v>
      </c>
      <c r="G12" s="51">
        <v>0.73</v>
      </c>
      <c r="H12" s="50">
        <v>558</v>
      </c>
      <c r="I12" s="51">
        <v>13.51</v>
      </c>
      <c r="J12" s="50">
        <v>736</v>
      </c>
      <c r="K12" s="51">
        <v>17.82</v>
      </c>
      <c r="L12" s="50">
        <v>2532</v>
      </c>
      <c r="M12" s="51">
        <v>61.31</v>
      </c>
      <c r="N12" s="50">
        <v>3</v>
      </c>
      <c r="O12" s="51" t="s">
        <v>32</v>
      </c>
      <c r="P12" s="50">
        <v>266</v>
      </c>
      <c r="Q12" s="51">
        <v>6.44</v>
      </c>
      <c r="R12" s="50">
        <v>220</v>
      </c>
      <c r="S12" s="51">
        <v>5.33</v>
      </c>
      <c r="T12" s="50">
        <v>3386</v>
      </c>
      <c r="U12" s="51">
        <v>83.24</v>
      </c>
      <c r="W12" s="15"/>
    </row>
    <row r="16" spans="1:23" ht="17" thickBot="1"/>
    <row r="17" spans="1:21" s="2" customFormat="1" ht="25" customHeight="1">
      <c r="A17" s="1"/>
      <c r="B17" s="191" t="s">
        <v>0</v>
      </c>
      <c r="C17" s="193" t="s">
        <v>24</v>
      </c>
      <c r="D17" s="195" t="s">
        <v>25</v>
      </c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  <c r="Q17" s="197"/>
      <c r="R17" s="181" t="s">
        <v>26</v>
      </c>
      <c r="S17" s="182"/>
      <c r="T17" s="186" t="s">
        <v>27</v>
      </c>
      <c r="U17" s="188" t="s">
        <v>7</v>
      </c>
    </row>
    <row r="18" spans="1:21" s="2" customFormat="1" ht="25" customHeight="1">
      <c r="A18" s="1"/>
      <c r="B18" s="192"/>
      <c r="C18" s="194"/>
      <c r="D18" s="180" t="s">
        <v>8</v>
      </c>
      <c r="E18" s="176"/>
      <c r="F18" s="190" t="s">
        <v>9</v>
      </c>
      <c r="G18" s="176"/>
      <c r="H18" s="175" t="s">
        <v>10</v>
      </c>
      <c r="I18" s="176"/>
      <c r="J18" s="175" t="s">
        <v>11</v>
      </c>
      <c r="K18" s="176"/>
      <c r="L18" s="175" t="s">
        <v>12</v>
      </c>
      <c r="M18" s="176"/>
      <c r="N18" s="175" t="s">
        <v>13</v>
      </c>
      <c r="O18" s="176"/>
      <c r="P18" s="175" t="s">
        <v>14</v>
      </c>
      <c r="Q18" s="179"/>
      <c r="R18" s="183"/>
      <c r="S18" s="184"/>
      <c r="T18" s="187"/>
      <c r="U18" s="189"/>
    </row>
    <row r="19" spans="1:21" s="2" customFormat="1" ht="15" customHeight="1" thickBot="1">
      <c r="A19" s="1"/>
      <c r="B19" s="3"/>
      <c r="C19" s="4"/>
      <c r="D19" s="5" t="s">
        <v>15</v>
      </c>
      <c r="E19" s="6" t="s">
        <v>16</v>
      </c>
      <c r="F19" s="7" t="s">
        <v>15</v>
      </c>
      <c r="G19" s="6" t="s">
        <v>16</v>
      </c>
      <c r="H19" s="7" t="s">
        <v>15</v>
      </c>
      <c r="I19" s="6" t="s">
        <v>16</v>
      </c>
      <c r="J19" s="7" t="s">
        <v>15</v>
      </c>
      <c r="K19" s="6" t="s">
        <v>16</v>
      </c>
      <c r="L19" s="7" t="s">
        <v>15</v>
      </c>
      <c r="M19" s="6" t="s">
        <v>16</v>
      </c>
      <c r="N19" s="7" t="s">
        <v>15</v>
      </c>
      <c r="O19" s="6" t="s">
        <v>16</v>
      </c>
      <c r="P19" s="7" t="s">
        <v>15</v>
      </c>
      <c r="Q19" s="8" t="s">
        <v>16</v>
      </c>
      <c r="R19" s="7" t="s">
        <v>15</v>
      </c>
      <c r="S19" s="9" t="s">
        <v>28</v>
      </c>
      <c r="T19" s="10"/>
      <c r="U19" s="11"/>
    </row>
    <row r="20" spans="1:21" ht="18" thickTop="1" thickBot="1">
      <c r="A20" t="s">
        <v>35</v>
      </c>
      <c r="B20" t="s">
        <v>39</v>
      </c>
      <c r="C20" s="54">
        <v>766423</v>
      </c>
      <c r="D20" s="54" t="s">
        <v>45</v>
      </c>
      <c r="E20">
        <v>2.2000000000000002</v>
      </c>
      <c r="F20" s="54">
        <v>13213</v>
      </c>
      <c r="G20" s="126">
        <v>1.7</v>
      </c>
      <c r="H20" s="54">
        <v>171060</v>
      </c>
      <c r="I20" s="127">
        <v>22.3</v>
      </c>
      <c r="J20" s="54">
        <v>315260</v>
      </c>
      <c r="K20" s="127">
        <v>41.1</v>
      </c>
      <c r="L20" s="54">
        <v>261844</v>
      </c>
      <c r="M20" s="127">
        <v>34.200000000000003</v>
      </c>
      <c r="R20" s="54">
        <v>56727</v>
      </c>
    </row>
    <row r="21" spans="1:21" ht="17" thickTop="1">
      <c r="A21" t="s">
        <v>30</v>
      </c>
      <c r="B21" t="s">
        <v>39</v>
      </c>
      <c r="C21" s="33">
        <v>1645856</v>
      </c>
      <c r="D21" s="33">
        <v>21983</v>
      </c>
      <c r="E21" s="35">
        <v>0.89672544080604499</v>
      </c>
      <c r="F21" s="33">
        <v>22837</v>
      </c>
      <c r="G21" s="35">
        <v>0.93156161086692701</v>
      </c>
      <c r="H21" s="33">
        <v>378115</v>
      </c>
      <c r="I21" s="35">
        <v>15.4239794409488</v>
      </c>
      <c r="J21" s="33">
        <v>595471</v>
      </c>
      <c r="K21" s="35">
        <v>24.290315014430099</v>
      </c>
      <c r="L21" s="33">
        <v>582660</v>
      </c>
      <c r="M21" s="35">
        <v>23.767731671748599</v>
      </c>
      <c r="N21" s="33">
        <v>4023</v>
      </c>
      <c r="O21" s="35">
        <v>0.16410528355377901</v>
      </c>
      <c r="P21" s="33">
        <v>40767</v>
      </c>
      <c r="Q21" s="35">
        <v>1.66295801507256</v>
      </c>
      <c r="R21" s="33">
        <v>115584</v>
      </c>
      <c r="S21" s="35">
        <v>4.71487573807606</v>
      </c>
      <c r="T21" s="71">
        <v>95635</v>
      </c>
      <c r="U21" s="35">
        <v>99.789825900559407</v>
      </c>
    </row>
    <row r="22" spans="1:21">
      <c r="A22" t="s">
        <v>29</v>
      </c>
      <c r="B22" t="s">
        <v>39</v>
      </c>
      <c r="C22" s="65">
        <v>1348917</v>
      </c>
      <c r="D22" s="33">
        <v>18121</v>
      </c>
      <c r="E22" s="35">
        <v>1.3</v>
      </c>
      <c r="F22" s="33">
        <v>17777</v>
      </c>
      <c r="G22" s="35">
        <v>1.3</v>
      </c>
      <c r="H22" s="33">
        <v>304691</v>
      </c>
      <c r="I22" s="35">
        <v>22.6</v>
      </c>
      <c r="J22" s="33">
        <v>511437</v>
      </c>
      <c r="K22" s="35">
        <v>37.9</v>
      </c>
      <c r="L22" s="33">
        <v>451605</v>
      </c>
      <c r="M22" s="35">
        <v>33.5</v>
      </c>
      <c r="N22" s="33">
        <v>5166</v>
      </c>
      <c r="O22" s="35">
        <v>0.4</v>
      </c>
      <c r="P22" s="33">
        <v>40120</v>
      </c>
      <c r="Q22" s="35" t="s">
        <v>31</v>
      </c>
      <c r="R22" s="33">
        <v>101726</v>
      </c>
      <c r="S22" s="35">
        <v>7.5</v>
      </c>
      <c r="T22" s="71">
        <v>95507</v>
      </c>
      <c r="U22" s="63">
        <v>99.9</v>
      </c>
    </row>
    <row r="23" spans="1:21" ht="17" thickBot="1">
      <c r="A23" t="s">
        <v>20</v>
      </c>
      <c r="B23" t="s">
        <v>39</v>
      </c>
      <c r="C23" s="21">
        <v>1266322</v>
      </c>
      <c r="D23" s="21">
        <v>17699</v>
      </c>
      <c r="E23" s="25">
        <v>1.3976999999999999</v>
      </c>
      <c r="F23" s="21">
        <v>15942</v>
      </c>
      <c r="G23" s="25">
        <v>1.2588999999999999</v>
      </c>
      <c r="H23" s="21">
        <v>284605</v>
      </c>
      <c r="I23" s="25">
        <v>22.474900000000002</v>
      </c>
      <c r="J23" s="21">
        <v>483963</v>
      </c>
      <c r="K23" s="25">
        <v>38.218000000000004</v>
      </c>
      <c r="L23" s="21">
        <v>413632</v>
      </c>
      <c r="M23" s="25">
        <v>32.664000000000001</v>
      </c>
      <c r="N23" s="22">
        <v>4549</v>
      </c>
      <c r="O23" s="25">
        <v>0.35920000000000002</v>
      </c>
      <c r="P23" s="21">
        <v>45932</v>
      </c>
      <c r="Q23" s="25">
        <v>3.6272000000000002</v>
      </c>
      <c r="R23" s="21">
        <v>99344</v>
      </c>
      <c r="S23" s="25">
        <v>7.8451000000000004</v>
      </c>
      <c r="T23" s="72">
        <v>96360</v>
      </c>
      <c r="U23" s="25">
        <v>99.977999999999994</v>
      </c>
    </row>
    <row r="24" spans="1:21">
      <c r="A24" t="s">
        <v>19</v>
      </c>
      <c r="B24" t="s">
        <v>39</v>
      </c>
      <c r="C24" s="66"/>
      <c r="D24" s="59" t="s">
        <v>37</v>
      </c>
      <c r="E24" s="60" t="s">
        <v>37</v>
      </c>
      <c r="F24" t="s">
        <v>37</v>
      </c>
      <c r="G24" s="60" t="s">
        <v>37</v>
      </c>
      <c r="H24" t="s">
        <v>37</v>
      </c>
      <c r="I24" s="60" t="s">
        <v>37</v>
      </c>
      <c r="J24" t="s">
        <v>37</v>
      </c>
      <c r="K24" s="60" t="s">
        <v>37</v>
      </c>
      <c r="L24" t="s">
        <v>37</v>
      </c>
      <c r="M24" s="60" t="s">
        <v>37</v>
      </c>
      <c r="N24" t="s">
        <v>37</v>
      </c>
      <c r="O24" s="60" t="s">
        <v>37</v>
      </c>
      <c r="P24" s="61" t="s">
        <v>37</v>
      </c>
      <c r="Q24" s="62" t="s">
        <v>37</v>
      </c>
      <c r="R24" s="70" t="s">
        <v>37</v>
      </c>
      <c r="S24" s="62" t="s">
        <v>37</v>
      </c>
      <c r="T24" s="27">
        <v>97632</v>
      </c>
      <c r="U24" s="28">
        <v>99.986000000000004</v>
      </c>
    </row>
    <row r="25" spans="1:21">
      <c r="A25" t="s">
        <v>34</v>
      </c>
      <c r="B25" t="s">
        <v>39</v>
      </c>
      <c r="C25" s="50">
        <v>81215</v>
      </c>
      <c r="D25" s="50">
        <v>1154</v>
      </c>
      <c r="E25" s="51">
        <v>1.01</v>
      </c>
      <c r="F25" s="50">
        <v>502</v>
      </c>
      <c r="G25" s="51">
        <v>0.62</v>
      </c>
      <c r="H25" s="50">
        <v>12625</v>
      </c>
      <c r="I25" s="51">
        <v>15.55</v>
      </c>
      <c r="J25" s="50">
        <v>23220</v>
      </c>
      <c r="K25" s="51">
        <v>28.59</v>
      </c>
      <c r="L25" s="50">
        <v>38915</v>
      </c>
      <c r="M25" s="51">
        <v>47.92</v>
      </c>
      <c r="N25" s="50">
        <v>196</v>
      </c>
      <c r="O25" s="51">
        <v>0.24</v>
      </c>
      <c r="P25" s="50">
        <v>4603</v>
      </c>
      <c r="Q25" s="51">
        <v>5.67</v>
      </c>
      <c r="R25" s="50">
        <v>4551</v>
      </c>
      <c r="S25" s="51">
        <v>5.6</v>
      </c>
      <c r="T25" s="50">
        <v>84797</v>
      </c>
      <c r="U25" s="51">
        <v>88.7</v>
      </c>
    </row>
    <row r="26" spans="1:21" ht="17" thickBot="1">
      <c r="C26" s="59"/>
      <c r="D26" s="59"/>
      <c r="E26" s="60"/>
      <c r="G26" s="60"/>
      <c r="I26" s="60"/>
      <c r="K26" s="60"/>
      <c r="M26" s="60"/>
      <c r="O26" s="60"/>
      <c r="P26" s="61"/>
      <c r="Q26" s="62"/>
      <c r="R26" s="59"/>
      <c r="T26" s="66"/>
      <c r="U26" s="61"/>
    </row>
    <row r="27" spans="1:21" ht="18" thickTop="1" thickBot="1">
      <c r="D27" s="108"/>
      <c r="E27" s="108"/>
      <c r="F27" s="108"/>
      <c r="G27" s="108"/>
      <c r="H27" s="108"/>
      <c r="I27" s="108"/>
      <c r="J27" s="108"/>
      <c r="K27" s="108"/>
      <c r="L27" s="109"/>
    </row>
    <row r="28" spans="1:21" ht="18" thickTop="1" thickBot="1">
      <c r="C28" s="110"/>
      <c r="D28" s="54"/>
      <c r="E28" s="54"/>
      <c r="F28" s="54"/>
      <c r="G28" s="54"/>
      <c r="H28" s="54"/>
      <c r="I28" s="54"/>
      <c r="J28" s="53"/>
      <c r="K28" s="54"/>
      <c r="L28" s="55"/>
    </row>
    <row r="29" spans="1:21" ht="18" thickTop="1" thickBot="1"/>
    <row r="30" spans="1:21" ht="18" thickTop="1" thickBot="1">
      <c r="C30" s="110"/>
      <c r="D30" s="53"/>
      <c r="E30" s="53"/>
      <c r="F30" s="54"/>
      <c r="G30" s="54"/>
      <c r="H30" s="54"/>
      <c r="I30" s="54"/>
      <c r="J30" s="53"/>
      <c r="K30" s="53"/>
      <c r="L30" s="55"/>
    </row>
    <row r="31" spans="1:21" ht="17" thickTop="1"/>
  </sheetData>
  <sortState xmlns:xlrd2="http://schemas.microsoft.com/office/spreadsheetml/2017/richdata2" ref="A19:V27">
    <sortCondition descending="1" ref="V19:V27"/>
  </sortState>
  <mergeCells count="26">
    <mergeCell ref="B4:B5"/>
    <mergeCell ref="C4:C5"/>
    <mergeCell ref="D4:Q4"/>
    <mergeCell ref="R4:S5"/>
    <mergeCell ref="T4:T5"/>
    <mergeCell ref="U4:U5"/>
    <mergeCell ref="D5:E5"/>
    <mergeCell ref="F5:G5"/>
    <mergeCell ref="H5:I5"/>
    <mergeCell ref="J5:K5"/>
    <mergeCell ref="L5:M5"/>
    <mergeCell ref="N5:O5"/>
    <mergeCell ref="P5:Q5"/>
    <mergeCell ref="B17:B18"/>
    <mergeCell ref="C17:C18"/>
    <mergeCell ref="D17:Q17"/>
    <mergeCell ref="R17:S18"/>
    <mergeCell ref="T17:T18"/>
    <mergeCell ref="U17:U18"/>
    <mergeCell ref="D18:E18"/>
    <mergeCell ref="F18:G18"/>
    <mergeCell ref="H18:I18"/>
    <mergeCell ref="J18:K18"/>
    <mergeCell ref="L18:M18"/>
    <mergeCell ref="N18:O18"/>
    <mergeCell ref="P18:Q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EFCB5-5DC7-284F-916E-A699D412663D}">
  <dimension ref="A3:W31"/>
  <sheetViews>
    <sheetView workbookViewId="0">
      <selection activeCell="H18" activeCellId="1" sqref="H5:I12 H18:I25"/>
    </sheetView>
  </sheetViews>
  <sheetFormatPr baseColWidth="10" defaultRowHeight="16"/>
  <sheetData>
    <row r="3" spans="1:23" ht="17" thickBot="1"/>
    <row r="4" spans="1:23" s="2" customFormat="1" ht="25" customHeight="1">
      <c r="A4" s="1"/>
      <c r="B4" s="191" t="s">
        <v>0</v>
      </c>
      <c r="C4" s="193" t="s">
        <v>24</v>
      </c>
      <c r="D4" s="195" t="s">
        <v>25</v>
      </c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7"/>
      <c r="R4" s="181" t="s">
        <v>26</v>
      </c>
      <c r="S4" s="182"/>
      <c r="T4" s="186" t="s">
        <v>27</v>
      </c>
      <c r="U4" s="188" t="s">
        <v>7</v>
      </c>
    </row>
    <row r="5" spans="1:23" s="2" customFormat="1" ht="25" customHeight="1">
      <c r="A5" s="1"/>
      <c r="B5" s="192"/>
      <c r="C5" s="194"/>
      <c r="D5" s="180" t="s">
        <v>8</v>
      </c>
      <c r="E5" s="176"/>
      <c r="F5" s="190" t="s">
        <v>9</v>
      </c>
      <c r="G5" s="176"/>
      <c r="H5" s="175" t="s">
        <v>10</v>
      </c>
      <c r="I5" s="176"/>
      <c r="J5" s="175" t="s">
        <v>11</v>
      </c>
      <c r="K5" s="176"/>
      <c r="L5" s="175" t="s">
        <v>12</v>
      </c>
      <c r="M5" s="176"/>
      <c r="N5" s="175" t="s">
        <v>13</v>
      </c>
      <c r="O5" s="176"/>
      <c r="P5" s="175" t="s">
        <v>14</v>
      </c>
      <c r="Q5" s="179"/>
      <c r="R5" s="183"/>
      <c r="S5" s="184"/>
      <c r="T5" s="187"/>
      <c r="U5" s="189"/>
    </row>
    <row r="6" spans="1:23" s="2" customFormat="1" ht="15" customHeight="1" thickBot="1">
      <c r="A6" s="1"/>
      <c r="B6" s="3"/>
      <c r="C6" s="4"/>
      <c r="D6" s="5" t="s">
        <v>15</v>
      </c>
      <c r="E6" s="6" t="s">
        <v>16</v>
      </c>
      <c r="F6" s="7" t="s">
        <v>15</v>
      </c>
      <c r="G6" s="6" t="s">
        <v>16</v>
      </c>
      <c r="H6" s="7" t="s">
        <v>15</v>
      </c>
      <c r="I6" s="6" t="s">
        <v>16</v>
      </c>
      <c r="J6" s="7" t="s">
        <v>15</v>
      </c>
      <c r="K6" s="6" t="s">
        <v>16</v>
      </c>
      <c r="L6" s="7" t="s">
        <v>15</v>
      </c>
      <c r="M6" s="6" t="s">
        <v>16</v>
      </c>
      <c r="N6" s="7" t="s">
        <v>15</v>
      </c>
      <c r="O6" s="6" t="s">
        <v>16</v>
      </c>
      <c r="P6" s="7" t="s">
        <v>15</v>
      </c>
      <c r="Q6" s="8" t="s">
        <v>16</v>
      </c>
      <c r="R6" s="7" t="s">
        <v>15</v>
      </c>
      <c r="S6" s="9" t="s">
        <v>28</v>
      </c>
      <c r="T6" s="10"/>
      <c r="U6" s="11"/>
    </row>
    <row r="7" spans="1:23" ht="18" thickTop="1" thickBot="1">
      <c r="A7" t="s">
        <v>35</v>
      </c>
      <c r="B7" t="s">
        <v>36</v>
      </c>
      <c r="C7" s="54">
        <v>13138</v>
      </c>
      <c r="D7" s="53">
        <v>35</v>
      </c>
      <c r="E7" s="15">
        <v>0.3</v>
      </c>
      <c r="F7" s="53">
        <v>106</v>
      </c>
      <c r="G7" s="15">
        <v>0.8</v>
      </c>
      <c r="H7" s="54">
        <v>2517</v>
      </c>
      <c r="I7" s="15">
        <v>19.2</v>
      </c>
      <c r="J7" s="54">
        <v>7832</v>
      </c>
      <c r="K7" s="15">
        <v>59.6</v>
      </c>
      <c r="L7" s="54">
        <v>4078</v>
      </c>
      <c r="M7" s="15">
        <v>31</v>
      </c>
      <c r="R7" s="53">
        <v>389</v>
      </c>
      <c r="S7" s="15">
        <v>3</v>
      </c>
      <c r="T7" s="13"/>
      <c r="U7" s="15"/>
    </row>
    <row r="8" spans="1:23" ht="17" thickTop="1">
      <c r="A8" t="s">
        <v>30</v>
      </c>
      <c r="B8" t="s">
        <v>36</v>
      </c>
      <c r="C8" s="33">
        <v>34557</v>
      </c>
      <c r="D8" s="33">
        <v>95</v>
      </c>
      <c r="E8" s="35">
        <v>0.10038251019675</v>
      </c>
      <c r="F8" s="33">
        <v>193</v>
      </c>
      <c r="G8" s="35">
        <v>0.20393499439971299</v>
      </c>
      <c r="H8" s="33">
        <v>6874</v>
      </c>
      <c r="I8" s="35">
        <v>7.2634671062363996</v>
      </c>
      <c r="J8" s="33">
        <v>19079</v>
      </c>
      <c r="K8" s="35">
        <v>20.159978021513599</v>
      </c>
      <c r="L8" s="33">
        <v>7389</v>
      </c>
      <c r="M8" s="35">
        <v>7.8076459773029896</v>
      </c>
      <c r="N8" s="33">
        <v>14</v>
      </c>
      <c r="O8" s="35">
        <v>1.4793212028994701E-2</v>
      </c>
      <c r="P8" s="33">
        <v>913</v>
      </c>
      <c r="Q8" s="35">
        <v>0.96472875589086804</v>
      </c>
      <c r="R8" s="33">
        <v>1244</v>
      </c>
      <c r="S8" s="35">
        <v>1.3144825545763901</v>
      </c>
      <c r="T8" s="39">
        <v>4221</v>
      </c>
      <c r="U8" s="48">
        <v>100</v>
      </c>
    </row>
    <row r="9" spans="1:23">
      <c r="A9" t="s">
        <v>29</v>
      </c>
      <c r="B9" t="s">
        <v>36</v>
      </c>
      <c r="C9" s="38">
        <v>37144</v>
      </c>
      <c r="D9" s="30">
        <v>72</v>
      </c>
      <c r="E9" s="32">
        <v>0.2</v>
      </c>
      <c r="F9" s="33">
        <v>139</v>
      </c>
      <c r="G9" s="32">
        <v>0.4</v>
      </c>
      <c r="H9" s="33">
        <v>6789</v>
      </c>
      <c r="I9" s="32">
        <v>18.3</v>
      </c>
      <c r="J9" s="33">
        <v>23426</v>
      </c>
      <c r="K9" s="32">
        <v>63.1</v>
      </c>
      <c r="L9" s="33">
        <v>5759</v>
      </c>
      <c r="M9" s="32">
        <v>15.5</v>
      </c>
      <c r="N9" s="33">
        <v>25</v>
      </c>
      <c r="O9" s="32">
        <v>0.1</v>
      </c>
      <c r="P9" s="34">
        <v>934</v>
      </c>
      <c r="Q9" s="31">
        <v>2.5</v>
      </c>
      <c r="R9" s="30">
        <v>968</v>
      </c>
      <c r="S9" s="31">
        <v>2.6</v>
      </c>
      <c r="T9" s="39">
        <v>4134</v>
      </c>
      <c r="U9" s="63">
        <v>100</v>
      </c>
    </row>
    <row r="10" spans="1:23">
      <c r="A10" t="s">
        <v>20</v>
      </c>
      <c r="B10" t="s">
        <v>36</v>
      </c>
      <c r="C10" s="18">
        <v>21884</v>
      </c>
      <c r="D10" s="19">
        <v>52</v>
      </c>
      <c r="E10" s="20">
        <v>0.23760000000000001</v>
      </c>
      <c r="F10" s="21">
        <v>104</v>
      </c>
      <c r="G10" s="20">
        <v>0.47520000000000001</v>
      </c>
      <c r="H10" s="22">
        <v>4015</v>
      </c>
      <c r="I10" s="20">
        <v>18.346699999999998</v>
      </c>
      <c r="J10" s="21">
        <v>12562</v>
      </c>
      <c r="K10" s="20">
        <v>57.402700000000003</v>
      </c>
      <c r="L10" s="21">
        <v>4344</v>
      </c>
      <c r="M10" s="20">
        <v>19.850100000000001</v>
      </c>
      <c r="N10" s="21">
        <v>20</v>
      </c>
      <c r="O10" s="20">
        <v>9.1399999999999995E-2</v>
      </c>
      <c r="P10" s="23">
        <v>787</v>
      </c>
      <c r="Q10" s="24">
        <v>3.5962000000000001</v>
      </c>
      <c r="R10" s="26">
        <v>646</v>
      </c>
      <c r="S10" s="25">
        <v>2.9519000000000002</v>
      </c>
      <c r="T10" s="27">
        <v>4081</v>
      </c>
      <c r="U10" s="64">
        <v>99.706000000000003</v>
      </c>
    </row>
    <row r="11" spans="1:23">
      <c r="A11" t="s">
        <v>19</v>
      </c>
      <c r="B11" t="s">
        <v>36</v>
      </c>
      <c r="C11" s="59">
        <v>17940</v>
      </c>
      <c r="D11" s="59" t="s">
        <v>37</v>
      </c>
      <c r="E11" s="60" t="s">
        <v>37</v>
      </c>
      <c r="F11" t="s">
        <v>37</v>
      </c>
      <c r="G11" s="60" t="s">
        <v>37</v>
      </c>
      <c r="H11" t="s">
        <v>37</v>
      </c>
      <c r="I11" s="60" t="s">
        <v>37</v>
      </c>
      <c r="J11" t="s">
        <v>37</v>
      </c>
      <c r="K11" s="60" t="s">
        <v>37</v>
      </c>
      <c r="L11" t="s">
        <v>37</v>
      </c>
      <c r="M11" s="60" t="s">
        <v>37</v>
      </c>
      <c r="N11" t="s">
        <v>37</v>
      </c>
      <c r="O11" s="60" t="s">
        <v>37</v>
      </c>
      <c r="P11" s="61" t="s">
        <v>37</v>
      </c>
      <c r="Q11" s="62" t="s">
        <v>37</v>
      </c>
      <c r="R11" s="59" t="s">
        <v>37</v>
      </c>
      <c r="S11" t="s">
        <v>37</v>
      </c>
      <c r="T11" s="27">
        <v>4145</v>
      </c>
      <c r="U11" s="28">
        <v>100</v>
      </c>
    </row>
    <row r="12" spans="1:23">
      <c r="A12" t="s">
        <v>34</v>
      </c>
      <c r="B12" t="s">
        <v>36</v>
      </c>
      <c r="C12" s="50">
        <v>2004</v>
      </c>
      <c r="D12" s="50">
        <v>5</v>
      </c>
      <c r="E12" s="51">
        <v>0.25</v>
      </c>
      <c r="F12" s="50">
        <v>19</v>
      </c>
      <c r="G12" s="51">
        <v>0.95</v>
      </c>
      <c r="H12" s="50">
        <v>266</v>
      </c>
      <c r="I12" s="51">
        <v>13.27</v>
      </c>
      <c r="J12" s="50">
        <v>437</v>
      </c>
      <c r="K12" s="51">
        <v>21.81</v>
      </c>
      <c r="L12" s="50">
        <v>1139</v>
      </c>
      <c r="M12" s="51">
        <v>56.84</v>
      </c>
      <c r="N12" s="50">
        <v>1</v>
      </c>
      <c r="O12" s="51" t="s">
        <v>32</v>
      </c>
      <c r="P12" s="50">
        <v>137</v>
      </c>
      <c r="Q12" s="51">
        <v>6.84</v>
      </c>
      <c r="R12" s="50">
        <v>65</v>
      </c>
      <c r="S12" s="51">
        <v>3.24</v>
      </c>
      <c r="T12" s="50">
        <v>3386</v>
      </c>
      <c r="U12" s="51">
        <v>83.24</v>
      </c>
      <c r="W12" s="15"/>
    </row>
    <row r="16" spans="1:23" ht="17" thickBot="1"/>
    <row r="17" spans="1:21" s="2" customFormat="1" ht="25" customHeight="1">
      <c r="A17" s="1"/>
      <c r="B17" s="191" t="s">
        <v>0</v>
      </c>
      <c r="C17" s="193" t="s">
        <v>24</v>
      </c>
      <c r="D17" s="195" t="s">
        <v>25</v>
      </c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  <c r="Q17" s="197"/>
      <c r="R17" s="181" t="s">
        <v>26</v>
      </c>
      <c r="S17" s="182"/>
      <c r="T17" s="186" t="s">
        <v>27</v>
      </c>
      <c r="U17" s="188" t="s">
        <v>7</v>
      </c>
    </row>
    <row r="18" spans="1:21" s="2" customFormat="1" ht="25" customHeight="1">
      <c r="A18" s="1"/>
      <c r="B18" s="192"/>
      <c r="C18" s="194"/>
      <c r="D18" s="180" t="s">
        <v>8</v>
      </c>
      <c r="E18" s="176"/>
      <c r="F18" s="190" t="s">
        <v>9</v>
      </c>
      <c r="G18" s="176"/>
      <c r="H18" s="175" t="s">
        <v>10</v>
      </c>
      <c r="I18" s="176"/>
      <c r="J18" s="175" t="s">
        <v>11</v>
      </c>
      <c r="K18" s="176"/>
      <c r="L18" s="175" t="s">
        <v>12</v>
      </c>
      <c r="M18" s="176"/>
      <c r="N18" s="175" t="s">
        <v>13</v>
      </c>
      <c r="O18" s="176"/>
      <c r="P18" s="175" t="s">
        <v>14</v>
      </c>
      <c r="Q18" s="179"/>
      <c r="R18" s="183"/>
      <c r="S18" s="184"/>
      <c r="T18" s="187"/>
      <c r="U18" s="189"/>
    </row>
    <row r="19" spans="1:21" s="2" customFormat="1" ht="15" customHeight="1" thickBot="1">
      <c r="A19" s="1"/>
      <c r="B19" s="3"/>
      <c r="C19" s="4"/>
      <c r="D19" s="5" t="s">
        <v>15</v>
      </c>
      <c r="E19" s="6" t="s">
        <v>16</v>
      </c>
      <c r="F19" s="7" t="s">
        <v>15</v>
      </c>
      <c r="G19" s="6" t="s">
        <v>16</v>
      </c>
      <c r="H19" s="7" t="s">
        <v>15</v>
      </c>
      <c r="I19" s="6" t="s">
        <v>16</v>
      </c>
      <c r="J19" s="7" t="s">
        <v>15</v>
      </c>
      <c r="K19" s="6" t="s">
        <v>16</v>
      </c>
      <c r="L19" s="7" t="s">
        <v>15</v>
      </c>
      <c r="M19" s="6" t="s">
        <v>16</v>
      </c>
      <c r="N19" s="7" t="s">
        <v>15</v>
      </c>
      <c r="O19" s="6" t="s">
        <v>16</v>
      </c>
      <c r="P19" s="7" t="s">
        <v>15</v>
      </c>
      <c r="Q19" s="8" t="s">
        <v>16</v>
      </c>
      <c r="R19" s="7" t="s">
        <v>15</v>
      </c>
      <c r="S19" s="9" t="s">
        <v>28</v>
      </c>
      <c r="T19" s="10"/>
      <c r="U19" s="11"/>
    </row>
    <row r="20" spans="1:21" ht="18" thickTop="1" thickBot="1">
      <c r="A20" t="s">
        <v>35</v>
      </c>
      <c r="B20" t="s">
        <v>39</v>
      </c>
      <c r="C20" s="54">
        <v>342487</v>
      </c>
      <c r="D20" s="54">
        <v>11162</v>
      </c>
      <c r="E20" s="67">
        <v>3.3</v>
      </c>
      <c r="F20" s="54">
        <v>6908</v>
      </c>
      <c r="G20" s="67">
        <v>2</v>
      </c>
      <c r="H20" s="54">
        <v>70789</v>
      </c>
      <c r="I20" s="67">
        <v>20.7</v>
      </c>
      <c r="J20" s="54">
        <v>176507</v>
      </c>
      <c r="K20" s="67">
        <v>51.5</v>
      </c>
      <c r="L20" s="54">
        <v>99173</v>
      </c>
      <c r="M20" s="125">
        <v>29</v>
      </c>
      <c r="R20" s="54">
        <v>20293</v>
      </c>
    </row>
    <row r="21" spans="1:21" ht="17" thickTop="1">
      <c r="A21" t="s">
        <v>30</v>
      </c>
      <c r="B21" t="s">
        <v>39</v>
      </c>
      <c r="C21" s="33">
        <v>805619</v>
      </c>
      <c r="D21" s="33">
        <v>11754</v>
      </c>
      <c r="E21" s="35">
        <v>0.47946644367166702</v>
      </c>
      <c r="F21" s="33">
        <v>6718</v>
      </c>
      <c r="G21" s="35">
        <v>0.27403909890984002</v>
      </c>
      <c r="H21" s="33">
        <v>171677</v>
      </c>
      <c r="I21" s="35">
        <v>7.0030083929063096</v>
      </c>
      <c r="J21" s="33">
        <v>366932</v>
      </c>
      <c r="K21" s="35">
        <v>14.9678050969314</v>
      </c>
      <c r="L21" s="33">
        <v>226337</v>
      </c>
      <c r="M21" s="35">
        <v>9.2326864438756306</v>
      </c>
      <c r="N21" s="33">
        <v>1846</v>
      </c>
      <c r="O21" s="35">
        <v>7.5301604136285297E-2</v>
      </c>
      <c r="P21" s="33">
        <v>20355</v>
      </c>
      <c r="Q21" s="35">
        <v>0.83031644214197597</v>
      </c>
      <c r="R21" s="33">
        <v>40952</v>
      </c>
      <c r="S21" s="35">
        <v>1.67050449219348</v>
      </c>
      <c r="T21" s="71">
        <v>95635</v>
      </c>
      <c r="U21" s="35">
        <v>99.789825900559407</v>
      </c>
    </row>
    <row r="22" spans="1:21">
      <c r="A22" t="s">
        <v>29</v>
      </c>
      <c r="B22" t="s">
        <v>39</v>
      </c>
      <c r="C22" s="65">
        <v>641638</v>
      </c>
      <c r="D22" s="33">
        <v>9528</v>
      </c>
      <c r="E22" s="35">
        <v>1.5</v>
      </c>
      <c r="F22" s="33">
        <v>5037</v>
      </c>
      <c r="G22" s="35">
        <v>0.8</v>
      </c>
      <c r="H22" s="33">
        <v>134414</v>
      </c>
      <c r="I22" s="35">
        <v>20.9</v>
      </c>
      <c r="J22" s="33">
        <v>304565</v>
      </c>
      <c r="K22" s="35">
        <v>47.5</v>
      </c>
      <c r="L22" s="33">
        <v>166415</v>
      </c>
      <c r="M22" s="35">
        <v>25.9</v>
      </c>
      <c r="N22" s="33">
        <v>2598</v>
      </c>
      <c r="O22" s="35">
        <v>0.4</v>
      </c>
      <c r="P22" s="33">
        <v>19081</v>
      </c>
      <c r="Q22" s="35" t="s">
        <v>31</v>
      </c>
      <c r="R22" s="33">
        <v>34641</v>
      </c>
      <c r="S22" s="35">
        <v>5.4</v>
      </c>
      <c r="T22" s="71">
        <v>95507</v>
      </c>
      <c r="U22" s="63">
        <v>99.9</v>
      </c>
    </row>
    <row r="23" spans="1:21" ht="17" thickBot="1">
      <c r="A23" t="s">
        <v>20</v>
      </c>
      <c r="B23" t="s">
        <v>39</v>
      </c>
      <c r="C23" s="21">
        <v>615212</v>
      </c>
      <c r="D23" s="21">
        <v>9175</v>
      </c>
      <c r="E23" s="25">
        <v>1.4914000000000001</v>
      </c>
      <c r="F23" s="21">
        <v>4582</v>
      </c>
      <c r="G23" s="25">
        <v>0.74480000000000002</v>
      </c>
      <c r="H23" s="21">
        <v>130632</v>
      </c>
      <c r="I23" s="25">
        <v>21.233699999999999</v>
      </c>
      <c r="J23" s="21">
        <v>295517</v>
      </c>
      <c r="K23" s="25">
        <v>48.034999999999997</v>
      </c>
      <c r="L23" s="21">
        <v>151109</v>
      </c>
      <c r="M23" s="25">
        <v>24.562100000000001</v>
      </c>
      <c r="N23" s="22">
        <v>2307</v>
      </c>
      <c r="O23" s="25">
        <v>0.375</v>
      </c>
      <c r="P23" s="21">
        <v>21890</v>
      </c>
      <c r="Q23" s="25">
        <v>3.5581</v>
      </c>
      <c r="R23" s="21">
        <v>34522</v>
      </c>
      <c r="S23" s="25">
        <v>5.6113999999999997</v>
      </c>
      <c r="T23" s="72">
        <v>96360</v>
      </c>
      <c r="U23" s="25">
        <v>99.977999999999994</v>
      </c>
    </row>
    <row r="24" spans="1:21">
      <c r="A24" t="s">
        <v>19</v>
      </c>
      <c r="B24" t="s">
        <v>39</v>
      </c>
      <c r="C24" s="66"/>
      <c r="D24" s="59" t="s">
        <v>37</v>
      </c>
      <c r="E24" s="60" t="s">
        <v>37</v>
      </c>
      <c r="F24" t="s">
        <v>37</v>
      </c>
      <c r="G24" s="60" t="s">
        <v>37</v>
      </c>
      <c r="H24" t="s">
        <v>37</v>
      </c>
      <c r="I24" s="60" t="s">
        <v>37</v>
      </c>
      <c r="J24" t="s">
        <v>37</v>
      </c>
      <c r="K24" s="60" t="s">
        <v>37</v>
      </c>
      <c r="L24" t="s">
        <v>37</v>
      </c>
      <c r="M24" s="60" t="s">
        <v>37</v>
      </c>
      <c r="N24" t="s">
        <v>37</v>
      </c>
      <c r="O24" s="60" t="s">
        <v>37</v>
      </c>
      <c r="P24" s="61" t="s">
        <v>37</v>
      </c>
      <c r="Q24" s="62" t="s">
        <v>37</v>
      </c>
      <c r="R24" s="70" t="s">
        <v>37</v>
      </c>
      <c r="S24" s="62" t="s">
        <v>37</v>
      </c>
      <c r="T24" s="27">
        <v>97632</v>
      </c>
      <c r="U24" s="28">
        <v>99.986000000000004</v>
      </c>
    </row>
    <row r="25" spans="1:21">
      <c r="A25" t="s">
        <v>34</v>
      </c>
      <c r="B25" t="s">
        <v>39</v>
      </c>
      <c r="C25" s="50">
        <v>33505</v>
      </c>
      <c r="D25" s="50">
        <v>539</v>
      </c>
      <c r="E25" s="51">
        <v>0.47</v>
      </c>
      <c r="F25" s="50">
        <v>165</v>
      </c>
      <c r="G25" s="51">
        <v>0.14000000000000001</v>
      </c>
      <c r="H25" s="50">
        <v>4918</v>
      </c>
      <c r="I25" s="51">
        <v>4.29</v>
      </c>
      <c r="J25" s="50">
        <v>11712</v>
      </c>
      <c r="K25" s="51">
        <v>10.210000000000001</v>
      </c>
      <c r="L25" s="50">
        <v>14024</v>
      </c>
      <c r="M25" s="51">
        <v>12.22</v>
      </c>
      <c r="N25" s="50">
        <v>65</v>
      </c>
      <c r="O25" s="51" t="s">
        <v>32</v>
      </c>
      <c r="P25" s="50">
        <v>2082</v>
      </c>
      <c r="Q25" s="51">
        <v>1.81</v>
      </c>
      <c r="R25" s="50">
        <v>1336</v>
      </c>
      <c r="S25" s="51">
        <v>1.1599999999999999</v>
      </c>
      <c r="T25" s="50">
        <v>84797</v>
      </c>
      <c r="U25" s="51">
        <v>88.7</v>
      </c>
    </row>
    <row r="26" spans="1:21">
      <c r="C26" s="59"/>
      <c r="D26" s="59"/>
      <c r="E26" s="60"/>
      <c r="G26" s="60"/>
      <c r="I26" s="60"/>
      <c r="K26" s="60"/>
      <c r="M26" s="60"/>
      <c r="O26" s="60"/>
      <c r="P26" s="61"/>
      <c r="Q26" s="62"/>
      <c r="R26" s="59"/>
      <c r="T26" s="66"/>
      <c r="U26" s="61"/>
    </row>
    <row r="27" spans="1:21">
      <c r="D27" s="68"/>
      <c r="E27" s="68"/>
      <c r="F27" s="69"/>
      <c r="G27" s="69"/>
      <c r="H27" s="69"/>
      <c r="I27" s="69"/>
      <c r="J27" s="68"/>
      <c r="K27" s="68"/>
      <c r="L27" s="68"/>
    </row>
    <row r="28" spans="1:21">
      <c r="D28" s="120"/>
      <c r="E28" s="120"/>
      <c r="F28" s="120"/>
      <c r="G28" s="120"/>
      <c r="H28" s="120"/>
      <c r="I28" s="120"/>
      <c r="J28" s="120"/>
      <c r="K28" s="120"/>
      <c r="L28" s="120"/>
    </row>
    <row r="29" spans="1:21">
      <c r="C29" s="68"/>
      <c r="D29" s="69"/>
      <c r="E29" s="69"/>
      <c r="F29" s="69"/>
      <c r="G29" s="69"/>
      <c r="H29" s="69"/>
      <c r="I29" s="69"/>
      <c r="J29" s="68"/>
      <c r="K29" s="69"/>
      <c r="L29" s="68"/>
    </row>
    <row r="31" spans="1:21">
      <c r="C31" s="68"/>
      <c r="D31" s="68"/>
      <c r="E31" s="68"/>
      <c r="F31" s="69"/>
      <c r="G31" s="69"/>
      <c r="H31" s="69"/>
      <c r="I31" s="69"/>
      <c r="J31" s="68"/>
      <c r="K31" s="68"/>
      <c r="L31" s="68"/>
    </row>
  </sheetData>
  <sortState xmlns:xlrd2="http://schemas.microsoft.com/office/spreadsheetml/2017/richdata2" ref="A19:V27">
    <sortCondition descending="1" ref="V19:V27"/>
  </sortState>
  <mergeCells count="26">
    <mergeCell ref="B4:B5"/>
    <mergeCell ref="C4:C5"/>
    <mergeCell ref="D4:Q4"/>
    <mergeCell ref="R4:S5"/>
    <mergeCell ref="T4:T5"/>
    <mergeCell ref="U4:U5"/>
    <mergeCell ref="D5:E5"/>
    <mergeCell ref="F5:G5"/>
    <mergeCell ref="H5:I5"/>
    <mergeCell ref="J5:K5"/>
    <mergeCell ref="L5:M5"/>
    <mergeCell ref="N5:O5"/>
    <mergeCell ref="P5:Q5"/>
    <mergeCell ref="B17:B18"/>
    <mergeCell ref="C17:C18"/>
    <mergeCell ref="D17:Q17"/>
    <mergeCell ref="R17:S18"/>
    <mergeCell ref="T17:T18"/>
    <mergeCell ref="U17:U18"/>
    <mergeCell ref="D18:E18"/>
    <mergeCell ref="F18:G18"/>
    <mergeCell ref="H18:I18"/>
    <mergeCell ref="J18:K18"/>
    <mergeCell ref="L18:M18"/>
    <mergeCell ref="N18:O18"/>
    <mergeCell ref="P18:Q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Total</vt:lpstr>
      <vt:lpstr>Male</vt:lpstr>
      <vt:lpstr>Female</vt:lpstr>
      <vt:lpstr>Total w dis</vt:lpstr>
      <vt:lpstr>Male w dis</vt:lpstr>
      <vt:lpstr>Female w dis</vt:lpstr>
      <vt:lpstr>Total wo dis</vt:lpstr>
      <vt:lpstr>Male wo dis</vt:lpstr>
      <vt:lpstr>Female wo 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Banu Amjud</dc:creator>
  <cp:lastModifiedBy>Nadia Banu Amjud</cp:lastModifiedBy>
  <dcterms:created xsi:type="dcterms:W3CDTF">2025-02-22T01:17:15Z</dcterms:created>
  <dcterms:modified xsi:type="dcterms:W3CDTF">2025-05-06T02:48:42Z</dcterms:modified>
</cp:coreProperties>
</file>