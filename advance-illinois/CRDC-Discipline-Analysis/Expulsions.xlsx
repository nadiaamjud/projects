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1.xml" ContentType="application/vnd.openxmlformats-officedocument.themeOverride+xml"/>
  <Override PartName="/xl/charts/chartEx1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adiabanuamjud/Documents/Internships and Certificates/Advance Illinois/CRDC/"/>
    </mc:Choice>
  </mc:AlternateContent>
  <xr:revisionPtr revIDLastSave="0" documentId="13_ncr:1_{1B6FC36F-9800-D24F-A8B9-A07253FC7C47}" xr6:coauthVersionLast="47" xr6:coauthVersionMax="47" xr10:uidLastSave="{00000000-0000-0000-0000-000000000000}"/>
  <bookViews>
    <workbookView minimized="1" xWindow="0" yWindow="760" windowWidth="29400" windowHeight="16820" activeTab="2" xr2:uid="{00000000-000D-0000-FFFF-FFFF00000000}"/>
  </bookViews>
  <sheets>
    <sheet name="Scrap 1" sheetId="10" r:id="rId1"/>
    <sheet name="Scrap 2" sheetId="11" r:id="rId2"/>
    <sheet name="Scrap 3" sheetId="12" r:id="rId3"/>
    <sheet name="Total" sheetId="1" r:id="rId4"/>
    <sheet name="Male" sheetId="2" r:id="rId5"/>
    <sheet name="Female" sheetId="3" r:id="rId6"/>
    <sheet name="Total w dis" sheetId="4" r:id="rId7"/>
    <sheet name="Male w dis" sheetId="5" r:id="rId8"/>
    <sheet name="Female w dis" sheetId="6" r:id="rId9"/>
    <sheet name="Total wo dis" sheetId="7" r:id="rId10"/>
    <sheet name="Male wo dis" sheetId="8" r:id="rId11"/>
    <sheet name="Female wo dis" sheetId="9" r:id="rId12"/>
  </sheets>
  <definedNames>
    <definedName name="_xlchart.v2.0" hidden="1">Total!$AT$8:$AT$13</definedName>
    <definedName name="_xlchart.v2.1" hidden="1">Total!$AW$7</definedName>
    <definedName name="_xlchart.v2.2" hidden="1">Total!$AW$8:$AW$13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2" i="10" l="1"/>
  <c r="C232" i="10"/>
  <c r="B232" i="10"/>
  <c r="D231" i="10"/>
  <c r="C231" i="10"/>
  <c r="B231" i="10"/>
  <c r="D230" i="10"/>
  <c r="C230" i="10"/>
  <c r="B230" i="10"/>
  <c r="D229" i="10"/>
  <c r="C229" i="10"/>
  <c r="B229" i="10"/>
  <c r="D228" i="10"/>
  <c r="C228" i="10"/>
  <c r="B228" i="10"/>
  <c r="D227" i="10"/>
  <c r="C227" i="10"/>
  <c r="B22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D261" i="10"/>
  <c r="C261" i="10"/>
  <c r="B261" i="10"/>
  <c r="D260" i="10"/>
  <c r="C260" i="10"/>
  <c r="B260" i="10"/>
  <c r="D259" i="10"/>
  <c r="C259" i="10"/>
  <c r="B259" i="10"/>
  <c r="D258" i="10"/>
  <c r="C258" i="10"/>
  <c r="B258" i="10"/>
  <c r="D257" i="10"/>
  <c r="C257" i="10"/>
  <c r="B257" i="10"/>
  <c r="D252" i="10"/>
  <c r="C252" i="10"/>
  <c r="B252" i="10"/>
  <c r="D251" i="10"/>
  <c r="C251" i="10"/>
  <c r="B251" i="10"/>
  <c r="D250" i="10"/>
  <c r="C250" i="10"/>
  <c r="B250" i="10"/>
  <c r="D249" i="10"/>
  <c r="C249" i="10"/>
  <c r="B249" i="10"/>
  <c r="D248" i="10"/>
  <c r="C248" i="10"/>
  <c r="B248" i="10"/>
  <c r="D243" i="10"/>
  <c r="C243" i="10"/>
  <c r="B243" i="10"/>
  <c r="D242" i="10"/>
  <c r="C242" i="10"/>
  <c r="B242" i="10"/>
  <c r="D241" i="10"/>
  <c r="C241" i="10"/>
  <c r="B241" i="10"/>
  <c r="D240" i="10"/>
  <c r="C240" i="10"/>
  <c r="B240" i="10"/>
  <c r="D239" i="10"/>
  <c r="C239" i="10"/>
  <c r="B239" i="10"/>
  <c r="AW9" i="1" l="1"/>
  <c r="AW10" i="1"/>
  <c r="AW11" i="1"/>
  <c r="AW12" i="1"/>
  <c r="AW13" i="1"/>
  <c r="AW8" i="1"/>
  <c r="B167" i="10"/>
  <c r="B172" i="1" l="1"/>
  <c r="C82" i="4"/>
  <c r="C54" i="4"/>
  <c r="J7" i="4"/>
  <c r="N7" i="4"/>
  <c r="P7" i="4"/>
  <c r="D7" i="4"/>
  <c r="H7" i="4"/>
</calcChain>
</file>

<file path=xl/sharedStrings.xml><?xml version="1.0" encoding="utf-8"?>
<sst xmlns="http://schemas.openxmlformats.org/spreadsheetml/2006/main" count="3006" uniqueCount="145">
  <si>
    <t>State</t>
  </si>
  <si>
    <t>Total Students</t>
  </si>
  <si>
    <r>
      <t>Race/Ethnicity of Students without Disabilities and with Disabilities Served Under IDEA</t>
    </r>
    <r>
      <rPr>
        <b/>
        <vertAlign val="superscript"/>
        <sz val="10"/>
        <rFont val="Arial"/>
        <family val="2"/>
      </rPr>
      <t>1</t>
    </r>
  </si>
  <si>
    <t>Students  With Disabilities Served Under  IDEA</t>
  </si>
  <si>
    <t>Students With Disabilities Served Only Under Section 504</t>
  </si>
  <si>
    <t>English Language Learners</t>
  </si>
  <si>
    <r>
      <t>Number of Schools</t>
    </r>
    <r>
      <rPr>
        <b/>
        <sz val="10"/>
        <color theme="0"/>
        <rFont val="Arial"/>
        <family val="2"/>
      </rPr>
      <t>a</t>
    </r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</si>
  <si>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</si>
  <si>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</si>
  <si>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</si>
  <si>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</si>
  <si>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</si>
  <si>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</si>
  <si>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</si>
  <si>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</si>
  <si>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</si>
  <si>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 </t>
  </si>
  <si>
    <r>
      <t>Percent</t>
    </r>
    <r>
      <rPr>
        <b/>
        <vertAlign val="superscript"/>
        <sz val="10"/>
        <rFont val="Arial"/>
        <family val="2"/>
      </rPr>
      <t>2</t>
    </r>
  </si>
  <si>
    <t>Year</t>
  </si>
  <si>
    <t>2017-18</t>
  </si>
  <si>
    <t>2015-16</t>
  </si>
  <si>
    <t>Students With Disabilities</t>
  </si>
  <si>
    <r>
      <t>Race/Ethnicity of Students With Disabilities Served Under IDEA</t>
    </r>
    <r>
      <rPr>
        <b/>
        <vertAlign val="superscript"/>
        <sz val="10"/>
        <rFont val="Arial"/>
        <family val="2"/>
      </rPr>
      <t>1</t>
    </r>
  </si>
  <si>
    <t xml:space="preserve">English Language Learners With Disabilities </t>
  </si>
  <si>
    <t>Students Without Disabilities</t>
  </si>
  <si>
    <t>Race/Ethnicity of Students Without Disabilities</t>
  </si>
  <si>
    <t xml:space="preserve">English Language Learners Without Disabilities </t>
  </si>
  <si>
    <t>Number of Schools</t>
  </si>
  <si>
    <t>Percent</t>
  </si>
  <si>
    <t>2013-14</t>
  </si>
  <si>
    <t>2011-12</t>
  </si>
  <si>
    <t>1 to 3</t>
  </si>
  <si>
    <t xml:space="preserve">1-3 </t>
  </si>
  <si>
    <t>2009-10</t>
  </si>
  <si>
    <t>2020-21</t>
  </si>
  <si>
    <t xml:space="preserve"> -</t>
  </si>
  <si>
    <t>IL</t>
  </si>
  <si>
    <t>Students Without Disabilities and With Disabilities Served Under IDEA</t>
  </si>
  <si>
    <t>US</t>
  </si>
  <si>
    <t>#</t>
  </si>
  <si>
    <t>American Indian</t>
  </si>
  <si>
    <t>Black</t>
  </si>
  <si>
    <t>Total</t>
  </si>
  <si>
    <t>-</t>
  </si>
  <si>
    <t>Hispanic/ Latinx</t>
  </si>
  <si>
    <t>Hawaiian</t>
  </si>
  <si>
    <t>Race/ Ethnicity of students who were expelled in Illinois</t>
  </si>
  <si>
    <t>Race/ Ethnicity of male students who were expelled in Illinois</t>
  </si>
  <si>
    <t>Race/ Ethnicity of female students who were expelled in Illinois</t>
  </si>
  <si>
    <t>Race/ Ethnicity of SWD who were expelled in Illinois</t>
  </si>
  <si>
    <t>Race/ Ethnicity of male SWD who were expelled in Illinois</t>
  </si>
  <si>
    <t>Race/ Ethnicity of female SWD who were expelled in Illinois</t>
  </si>
  <si>
    <t>Race/ Ethnicity of SWOD who were expelled in Illinois</t>
  </si>
  <si>
    <t>Race/ Ethnicity of male SWOD who were expelled in Illinois</t>
  </si>
  <si>
    <t>Race/ Ethnicity of female SWOD who were expelled in Illinois</t>
  </si>
  <si>
    <t>Male</t>
  </si>
  <si>
    <t>Female</t>
  </si>
  <si>
    <t>Total Students in Illinois</t>
  </si>
  <si>
    <t>Total Students in United States</t>
  </si>
  <si>
    <t>Percentage (%)</t>
  </si>
  <si>
    <t>Total SWD in Illinois</t>
  </si>
  <si>
    <t>Total SWD in United States</t>
  </si>
  <si>
    <t>Total SWOD in Illinois</t>
  </si>
  <si>
    <t>Total SWOD in United States</t>
  </si>
  <si>
    <t>Male SWD in Illinois</t>
  </si>
  <si>
    <t>Male SWD in United States</t>
  </si>
  <si>
    <t>Male Students in Illinois</t>
  </si>
  <si>
    <t>Male Students in United States</t>
  </si>
  <si>
    <t>Male SWOD in Illinois</t>
  </si>
  <si>
    <t>Male SWOD in United States</t>
  </si>
  <si>
    <t>Female Students in Illinois</t>
  </si>
  <si>
    <t>Female Students in United States</t>
  </si>
  <si>
    <t>Female SWOD in Illinois</t>
  </si>
  <si>
    <t>Female SWOD in United States</t>
  </si>
  <si>
    <t>Female SWD in Illinois</t>
  </si>
  <si>
    <t>Female SWD in United States</t>
  </si>
  <si>
    <t>Percentage Male (%)</t>
  </si>
  <si>
    <t>Percentage Female (%)</t>
  </si>
  <si>
    <t>Percentage SWD (%)</t>
  </si>
  <si>
    <t>Percentage SWOD (%)</t>
  </si>
  <si>
    <t>PercentageMale SWD (%)</t>
  </si>
  <si>
    <t>Percentage Male SWOD (%)</t>
  </si>
  <si>
    <t>Percentage Female SWD (%)</t>
  </si>
  <si>
    <t>Percentage Female SWOD (%)</t>
  </si>
  <si>
    <t>Illinois Total</t>
  </si>
  <si>
    <t>National Total</t>
  </si>
  <si>
    <t>SWD</t>
  </si>
  <si>
    <t>SWOD</t>
  </si>
  <si>
    <t>Male SWD</t>
  </si>
  <si>
    <t>Male SWOD</t>
  </si>
  <si>
    <t>Female SWD</t>
  </si>
  <si>
    <t>Female SWOD</t>
  </si>
  <si>
    <t>Total SWD</t>
  </si>
  <si>
    <t>Total SWOD</t>
  </si>
  <si>
    <t>Total S in IL</t>
  </si>
  <si>
    <t># of B</t>
  </si>
  <si>
    <t>Total suspen</t>
  </si>
  <si>
    <t># of B Sus</t>
  </si>
  <si>
    <t>compare 60 and 50</t>
  </si>
  <si>
    <t>Illinois Black WD</t>
  </si>
  <si>
    <t>National Black WD</t>
  </si>
  <si>
    <t>ISBE RC 2018</t>
  </si>
  <si>
    <t>Latinx</t>
  </si>
  <si>
    <t>Native Hawaiian</t>
  </si>
  <si>
    <t>Two or More Races</t>
  </si>
  <si>
    <t>% Expelled</t>
  </si>
  <si>
    <t>% of K-12 Enrollment</t>
  </si>
  <si>
    <t>AI</t>
  </si>
  <si>
    <t xml:space="preserve">White </t>
  </si>
  <si>
    <t>NH</t>
  </si>
  <si>
    <t>Two or More Racess</t>
  </si>
  <si>
    <t>% Student Enrollment - White</t>
  </si>
  <si>
    <t>% Student Enrollment - Asian</t>
  </si>
  <si>
    <t>% Student Enrollment - Black</t>
  </si>
  <si>
    <t>% Student Enrollment - Latinx</t>
  </si>
  <si>
    <t>% Student Enrollment - American Indian or Alaska Native</t>
  </si>
  <si>
    <t>% Student Enrollment - Native Hawaiian or Other Pacific Islander</t>
  </si>
  <si>
    <t>% Student Enrollment - Two or More Races</t>
  </si>
  <si>
    <t>% Student Enrollment - EL</t>
  </si>
  <si>
    <t>% Student Enrollment - Children with Disabilities</t>
  </si>
  <si>
    <t>% of EL Expelled</t>
  </si>
  <si>
    <t>% of EL in K-12 Enrollment</t>
  </si>
  <si>
    <t>% of SWD Expelled</t>
  </si>
  <si>
    <t>% of SWD in K-12 Enrollment</t>
  </si>
  <si>
    <t>Male WOD</t>
  </si>
  <si>
    <t>F WOD</t>
  </si>
  <si>
    <t>Total WOD</t>
  </si>
  <si>
    <t>Female WD</t>
  </si>
  <si>
    <t>Male WD</t>
  </si>
  <si>
    <t>Total WD</t>
  </si>
  <si>
    <t>Illinois Black WOD</t>
  </si>
  <si>
    <t>National Black WOD</t>
  </si>
  <si>
    <t>Student Enrollment</t>
  </si>
  <si>
    <t>Student Enrollment in IL</t>
  </si>
  <si>
    <t>Students Expelled in IL</t>
  </si>
  <si>
    <t>% of Students Expelled in IL</t>
  </si>
  <si>
    <t>Female WOD</t>
  </si>
  <si>
    <t xml:space="preserve">Male </t>
  </si>
  <si>
    <t>T</t>
  </si>
  <si>
    <t>M</t>
  </si>
  <si>
    <t>F</t>
  </si>
  <si>
    <t>Percentage of English Learners Expelled in Illinois by Gender</t>
  </si>
  <si>
    <t>Total Expelled</t>
  </si>
  <si>
    <t># of Students with and without disabilities served under IDEA who were Expelled</t>
  </si>
  <si>
    <t>WD 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</si>
</sst>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)"/>
    <numFmt numFmtId="165" formatCode="#,##0.0_)"/>
    <numFmt numFmtId="166" formatCode="#,##0.0_);\(#,##0.0\)"/>
    <numFmt numFmtId="167" formatCode="0.0"/>
    <numFmt numFmtId="168" formatCode="#,##0.0"/>
    <numFmt numFmtId="169" formatCode="0.0%"/>
  </numFmts>
  <fonts count="26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12"/>
      <color theme="1"/>
      <name val="Aptos"/>
    </font>
    <font>
      <sz val="12"/>
      <color rgb="FF000000"/>
      <name val="Aptos Narrow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b/>
      <sz val="12"/>
      <name val="Arial"/>
      <family val="2"/>
    </font>
    <font>
      <b/>
      <sz val="12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4"/>
      <color rgb="FF59595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ck">
        <color rgb="FFE0E0E0"/>
      </left>
      <right style="thick">
        <color rgb="FFE0E0E0"/>
      </right>
      <top style="thick">
        <color rgb="FFE0E0E0"/>
      </top>
      <bottom style="thick">
        <color rgb="FFE0E0E0"/>
      </bottom>
      <diagonal/>
    </border>
    <border>
      <left style="thick">
        <color rgb="FFE0E0E0"/>
      </left>
      <right style="thick">
        <color rgb="FF666666"/>
      </right>
      <top style="thick">
        <color rgb="FFE0E0E0"/>
      </top>
      <bottom style="thick">
        <color rgb="FFE0E0E0"/>
      </bottom>
      <diagonal/>
    </border>
    <border>
      <left style="thick">
        <color rgb="FFE0E0E0"/>
      </left>
      <right style="thick">
        <color rgb="FFE0E0E0"/>
      </right>
      <top style="thick">
        <color rgb="FFDDDDDD"/>
      </top>
      <bottom style="thick">
        <color rgb="FFE0E0E0"/>
      </bottom>
      <diagonal/>
    </border>
    <border>
      <left style="thick">
        <color rgb="FFE0E0E0"/>
      </left>
      <right style="thick">
        <color rgb="FF666666"/>
      </right>
      <top style="thick">
        <color rgb="FFDDDDDD"/>
      </top>
      <bottom style="thick">
        <color rgb="FFE0E0E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E0E0E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</cellStyleXfs>
  <cellXfs count="270">
    <xf numFmtId="0" fontId="0" fillId="0" borderId="0" xfId="0"/>
    <xf numFmtId="0" fontId="2" fillId="0" borderId="0" xfId="1" applyFont="1"/>
    <xf numFmtId="0" fontId="7" fillId="0" borderId="0" xfId="1" applyFont="1"/>
    <xf numFmtId="0" fontId="4" fillId="0" borderId="20" xfId="2" applyFont="1" applyBorder="1"/>
    <xf numFmtId="1" fontId="4" fillId="0" borderId="21" xfId="2" applyNumberFormat="1" applyFont="1" applyBorder="1" applyAlignment="1">
      <alignment horizontal="right" wrapText="1"/>
    </xf>
    <xf numFmtId="1" fontId="4" fillId="0" borderId="22" xfId="2" applyNumberFormat="1" applyFont="1" applyBorder="1" applyAlignment="1">
      <alignment horizontal="right" wrapText="1"/>
    </xf>
    <xf numFmtId="1" fontId="4" fillId="0" borderId="23" xfId="0" applyNumberFormat="1" applyFont="1" applyBorder="1" applyAlignment="1">
      <alignment horizontal="right" wrapText="1"/>
    </xf>
    <xf numFmtId="1" fontId="4" fillId="0" borderId="24" xfId="2" applyNumberFormat="1" applyFont="1" applyBorder="1" applyAlignment="1">
      <alignment horizontal="right" wrapText="1"/>
    </xf>
    <xf numFmtId="1" fontId="4" fillId="0" borderId="25" xfId="0" applyNumberFormat="1" applyFont="1" applyBorder="1" applyAlignment="1">
      <alignment horizontal="right" wrapText="1"/>
    </xf>
    <xf numFmtId="1" fontId="4" fillId="0" borderId="20" xfId="2" applyNumberFormat="1" applyFont="1" applyBorder="1" applyAlignment="1">
      <alignment horizontal="right" wrapText="1"/>
    </xf>
    <xf numFmtId="1" fontId="4" fillId="0" borderId="26" xfId="2" applyNumberFormat="1" applyFont="1" applyBorder="1" applyAlignment="1">
      <alignment wrapText="1"/>
    </xf>
    <xf numFmtId="1" fontId="4" fillId="0" borderId="27" xfId="2" applyNumberFormat="1" applyFont="1" applyBorder="1" applyAlignment="1">
      <alignment wrapText="1"/>
    </xf>
    <xf numFmtId="0" fontId="8" fillId="0" borderId="0" xfId="1" applyFont="1"/>
    <xf numFmtId="164" fontId="7" fillId="0" borderId="0" xfId="1" applyNumberFormat="1" applyFont="1" applyAlignment="1">
      <alignment horizontal="right"/>
    </xf>
    <xf numFmtId="164" fontId="7" fillId="0" borderId="0" xfId="1" quotePrefix="1" applyNumberFormat="1" applyFont="1" applyAlignment="1">
      <alignment horizontal="right"/>
    </xf>
    <xf numFmtId="165" fontId="7" fillId="0" borderId="0" xfId="1" applyNumberFormat="1" applyFont="1" applyAlignment="1">
      <alignment horizontal="right"/>
    </xf>
    <xf numFmtId="164" fontId="7" fillId="2" borderId="18" xfId="1" applyNumberFormat="1" applyFont="1" applyFill="1" applyBorder="1" applyAlignment="1">
      <alignment horizontal="right"/>
    </xf>
    <xf numFmtId="164" fontId="7" fillId="2" borderId="30" xfId="1" quotePrefix="1" applyNumberFormat="1" applyFont="1" applyFill="1" applyBorder="1" applyAlignment="1">
      <alignment horizontal="right"/>
    </xf>
    <xf numFmtId="165" fontId="7" fillId="2" borderId="31" xfId="1" applyNumberFormat="1" applyFont="1" applyFill="1" applyBorder="1" applyAlignment="1">
      <alignment horizontal="right"/>
    </xf>
    <xf numFmtId="164" fontId="7" fillId="2" borderId="0" xfId="1" applyNumberFormat="1" applyFont="1" applyFill="1" applyAlignment="1">
      <alignment horizontal="right"/>
    </xf>
    <xf numFmtId="164" fontId="7" fillId="2" borderId="0" xfId="1" quotePrefix="1" applyNumberFormat="1" applyFont="1" applyFill="1" applyAlignment="1">
      <alignment horizontal="right"/>
    </xf>
    <xf numFmtId="164" fontId="7" fillId="2" borderId="19" xfId="1" quotePrefix="1" applyNumberFormat="1" applyFont="1" applyFill="1" applyBorder="1" applyAlignment="1">
      <alignment horizontal="right"/>
    </xf>
    <xf numFmtId="165" fontId="7" fillId="2" borderId="9" xfId="1" applyNumberFormat="1" applyFont="1" applyFill="1" applyBorder="1" applyAlignment="1">
      <alignment horizontal="right"/>
    </xf>
    <xf numFmtId="165" fontId="7" fillId="2" borderId="0" xfId="1" applyNumberFormat="1" applyFont="1" applyFill="1" applyAlignment="1">
      <alignment horizontal="right"/>
    </xf>
    <xf numFmtId="164" fontId="7" fillId="2" borderId="30" xfId="1" applyNumberFormat="1" applyFont="1" applyFill="1" applyBorder="1" applyAlignment="1">
      <alignment horizontal="right"/>
    </xf>
    <xf numFmtId="37" fontId="7" fillId="2" borderId="18" xfId="3" applyNumberFormat="1" applyFont="1" applyFill="1" applyBorder="1"/>
    <xf numFmtId="165" fontId="7" fillId="2" borderId="19" xfId="1" applyNumberFormat="1" applyFont="1" applyFill="1" applyBorder="1"/>
    <xf numFmtId="164" fontId="7" fillId="3" borderId="18" xfId="1" applyNumberFormat="1" applyFont="1" applyFill="1" applyBorder="1" applyAlignment="1">
      <alignment horizontal="right"/>
    </xf>
    <xf numFmtId="164" fontId="7" fillId="3" borderId="30" xfId="1" applyNumberFormat="1" applyFont="1" applyFill="1" applyBorder="1" applyAlignment="1">
      <alignment horizontal="right"/>
    </xf>
    <xf numFmtId="165" fontId="7" fillId="3" borderId="9" xfId="1" applyNumberFormat="1" applyFont="1" applyFill="1" applyBorder="1" applyAlignment="1">
      <alignment horizontal="right"/>
    </xf>
    <xf numFmtId="165" fontId="7" fillId="3" borderId="31" xfId="1" applyNumberFormat="1" applyFont="1" applyFill="1" applyBorder="1" applyAlignment="1">
      <alignment horizontal="right"/>
    </xf>
    <xf numFmtId="164" fontId="7" fillId="3" borderId="0" xfId="1" applyNumberFormat="1" applyFont="1" applyFill="1" applyAlignment="1">
      <alignment horizontal="right"/>
    </xf>
    <xf numFmtId="164" fontId="7" fillId="3" borderId="19" xfId="1" applyNumberFormat="1" applyFont="1" applyFill="1" applyBorder="1" applyAlignment="1">
      <alignment horizontal="right"/>
    </xf>
    <xf numFmtId="165" fontId="7" fillId="3" borderId="0" xfId="1" applyNumberFormat="1" applyFont="1" applyFill="1" applyAlignment="1">
      <alignment horizontal="right"/>
    </xf>
    <xf numFmtId="37" fontId="7" fillId="3" borderId="18" xfId="3" applyNumberFormat="1" applyFont="1" applyFill="1" applyBorder="1"/>
    <xf numFmtId="165" fontId="7" fillId="3" borderId="19" xfId="1" applyNumberFormat="1" applyFont="1" applyFill="1" applyBorder="1"/>
    <xf numFmtId="164" fontId="7" fillId="3" borderId="18" xfId="1" applyNumberFormat="1" applyFont="1" applyFill="1" applyBorder="1"/>
    <xf numFmtId="37" fontId="7" fillId="3" borderId="18" xfId="3" applyNumberFormat="1" applyFont="1" applyFill="1" applyBorder="1" applyAlignment="1">
      <alignment horizontal="right"/>
    </xf>
    <xf numFmtId="164" fontId="7" fillId="3" borderId="0" xfId="1" quotePrefix="1" applyNumberFormat="1" applyFont="1" applyFill="1" applyAlignment="1">
      <alignment horizontal="right"/>
    </xf>
    <xf numFmtId="165" fontId="7" fillId="0" borderId="9" xfId="1" applyNumberFormat="1" applyFont="1" applyBorder="1" applyAlignment="1">
      <alignment horizontal="right"/>
    </xf>
    <xf numFmtId="164" fontId="7" fillId="0" borderId="30" xfId="1" applyNumberFormat="1" applyFont="1" applyBorder="1" applyAlignment="1">
      <alignment horizontal="right"/>
    </xf>
    <xf numFmtId="164" fontId="10" fillId="0" borderId="0" xfId="1" applyNumberFormat="1" applyFont="1" applyAlignment="1">
      <alignment horizontal="right"/>
    </xf>
    <xf numFmtId="165" fontId="10" fillId="0" borderId="0" xfId="1" applyNumberFormat="1" applyFont="1" applyAlignment="1">
      <alignment horizontal="right"/>
    </xf>
    <xf numFmtId="37" fontId="10" fillId="0" borderId="0" xfId="3" applyNumberFormat="1" applyFont="1"/>
    <xf numFmtId="0" fontId="9" fillId="0" borderId="0" xfId="0" applyFont="1"/>
    <xf numFmtId="165" fontId="7" fillId="0" borderId="0" xfId="1" applyNumberFormat="1" applyFont="1"/>
    <xf numFmtId="37" fontId="7" fillId="2" borderId="18" xfId="3" applyNumberFormat="1" applyFont="1" applyFill="1" applyBorder="1" applyAlignment="1">
      <alignment horizontal="right"/>
    </xf>
    <xf numFmtId="164" fontId="7" fillId="3" borderId="30" xfId="1" quotePrefix="1" applyNumberFormat="1" applyFont="1" applyFill="1" applyBorder="1" applyAlignment="1">
      <alignment horizontal="right"/>
    </xf>
    <xf numFmtId="165" fontId="7" fillId="0" borderId="31" xfId="1" applyNumberFormat="1" applyFont="1" applyBorder="1" applyAlignment="1">
      <alignment horizontal="right"/>
    </xf>
    <xf numFmtId="37" fontId="7" fillId="0" borderId="18" xfId="3" applyNumberFormat="1" applyFont="1" applyBorder="1" applyAlignment="1">
      <alignment horizontal="right"/>
    </xf>
    <xf numFmtId="165" fontId="7" fillId="0" borderId="19" xfId="1" applyNumberFormat="1" applyFont="1" applyBorder="1" applyAlignment="1">
      <alignment horizontal="right"/>
    </xf>
    <xf numFmtId="164" fontId="7" fillId="0" borderId="19" xfId="1" applyNumberFormat="1" applyFont="1" applyBorder="1" applyAlignment="1">
      <alignment horizontal="right"/>
    </xf>
    <xf numFmtId="37" fontId="7" fillId="0" borderId="18" xfId="3" applyNumberFormat="1" applyFont="1" applyBorder="1"/>
    <xf numFmtId="165" fontId="7" fillId="0" borderId="19" xfId="1" applyNumberFormat="1" applyFont="1" applyBorder="1"/>
    <xf numFmtId="37" fontId="0" fillId="4" borderId="0" xfId="0" applyNumberFormat="1" applyFill="1" applyAlignment="1">
      <alignment horizontal="right"/>
    </xf>
    <xf numFmtId="39" fontId="0" fillId="4" borderId="0" xfId="0" applyNumberFormat="1" applyFill="1" applyAlignment="1">
      <alignment horizontal="right"/>
    </xf>
    <xf numFmtId="37" fontId="0" fillId="0" borderId="0" xfId="0" applyNumberFormat="1" applyAlignment="1">
      <alignment horizontal="right"/>
    </xf>
    <xf numFmtId="39" fontId="0" fillId="0" borderId="0" xfId="0" applyNumberFormat="1" applyAlignment="1">
      <alignment horizontal="right"/>
    </xf>
    <xf numFmtId="166" fontId="0" fillId="4" borderId="0" xfId="0" applyNumberFormat="1" applyFill="1" applyAlignment="1">
      <alignment horizontal="right"/>
    </xf>
    <xf numFmtId="167" fontId="0" fillId="0" borderId="0" xfId="0" applyNumberFormat="1"/>
    <xf numFmtId="0" fontId="11" fillId="0" borderId="38" xfId="0" applyFont="1" applyBorder="1" applyAlignment="1">
      <alignment horizontal="center" vertical="top" wrapText="1"/>
    </xf>
    <xf numFmtId="0" fontId="11" fillId="0" borderId="39" xfId="0" applyFont="1" applyBorder="1" applyAlignment="1">
      <alignment horizontal="center" vertical="top" wrapText="1"/>
    </xf>
    <xf numFmtId="0" fontId="12" fillId="0" borderId="38" xfId="0" applyFont="1" applyBorder="1" applyAlignment="1">
      <alignment horizontal="center" vertical="top" wrapText="1"/>
    </xf>
    <xf numFmtId="0" fontId="12" fillId="0" borderId="39" xfId="0" applyFont="1" applyBorder="1" applyAlignment="1">
      <alignment horizontal="center" vertical="top" wrapText="1"/>
    </xf>
    <xf numFmtId="3" fontId="12" fillId="0" borderId="38" xfId="0" applyNumberFormat="1" applyFont="1" applyBorder="1" applyAlignment="1">
      <alignment horizontal="center" vertical="top" wrapText="1"/>
    </xf>
    <xf numFmtId="3" fontId="0" fillId="0" borderId="0" xfId="0" applyNumberFormat="1"/>
    <xf numFmtId="164" fontId="7" fillId="2" borderId="6" xfId="1" applyNumberFormat="1" applyFont="1" applyFill="1" applyBorder="1" applyAlignment="1">
      <alignment horizontal="right"/>
    </xf>
    <xf numFmtId="164" fontId="7" fillId="2" borderId="19" xfId="1" applyNumberFormat="1" applyFont="1" applyFill="1" applyBorder="1" applyAlignment="1">
      <alignment horizontal="right"/>
    </xf>
    <xf numFmtId="0" fontId="13" fillId="0" borderId="0" xfId="0" applyFont="1" applyAlignment="1">
      <alignment horizontal="center" vertical="top" wrapText="1"/>
    </xf>
    <xf numFmtId="164" fontId="7" fillId="0" borderId="0" xfId="0" applyNumberFormat="1" applyFont="1" applyAlignment="1">
      <alignment horizontal="right"/>
    </xf>
    <xf numFmtId="37" fontId="0" fillId="0" borderId="0" xfId="0" applyNumberFormat="1"/>
    <xf numFmtId="1" fontId="4" fillId="0" borderId="2" xfId="2" applyNumberFormat="1" applyFont="1" applyBorder="1" applyAlignment="1">
      <alignment horizontal="center" wrapText="1"/>
    </xf>
    <xf numFmtId="0" fontId="14" fillId="0" borderId="40" xfId="0" applyFont="1" applyBorder="1" applyAlignment="1">
      <alignment horizontal="center" vertical="top" wrapText="1"/>
    </xf>
    <xf numFmtId="0" fontId="14" fillId="0" borderId="41" xfId="0" applyFont="1" applyBorder="1" applyAlignment="1">
      <alignment horizontal="center" vertical="top" wrapText="1"/>
    </xf>
    <xf numFmtId="3" fontId="11" fillId="0" borderId="38" xfId="0" applyNumberFormat="1" applyFont="1" applyBorder="1" applyAlignment="1">
      <alignment horizontal="center" vertical="top" wrapText="1"/>
    </xf>
    <xf numFmtId="0" fontId="7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20" xfId="0" applyBorder="1"/>
    <xf numFmtId="0" fontId="4" fillId="0" borderId="0" xfId="2" applyFont="1"/>
    <xf numFmtId="164" fontId="7" fillId="0" borderId="18" xfId="1" applyNumberFormat="1" applyFont="1" applyBorder="1" applyAlignment="1">
      <alignment horizontal="right"/>
    </xf>
    <xf numFmtId="1" fontId="4" fillId="0" borderId="0" xfId="2" applyNumberFormat="1" applyFont="1" applyAlignment="1">
      <alignment horizontal="right" wrapText="1"/>
    </xf>
    <xf numFmtId="1" fontId="4" fillId="0" borderId="0" xfId="0" applyNumberFormat="1" applyFont="1" applyAlignment="1">
      <alignment horizontal="right" wrapText="1"/>
    </xf>
    <xf numFmtId="0" fontId="0" fillId="0" borderId="24" xfId="0" applyBorder="1"/>
    <xf numFmtId="0" fontId="0" fillId="0" borderId="22" xfId="0" applyBorder="1"/>
    <xf numFmtId="0" fontId="0" fillId="0" borderId="30" xfId="0" applyBorder="1"/>
    <xf numFmtId="0" fontId="0" fillId="0" borderId="9" xfId="0" applyBorder="1"/>
    <xf numFmtId="37" fontId="7" fillId="2" borderId="0" xfId="3" applyNumberFormat="1" applyFont="1" applyFill="1" applyAlignment="1">
      <alignment horizontal="right"/>
    </xf>
    <xf numFmtId="37" fontId="7" fillId="2" borderId="0" xfId="3" applyNumberFormat="1" applyFont="1" applyFill="1"/>
    <xf numFmtId="0" fontId="0" fillId="0" borderId="18" xfId="0" applyBorder="1"/>
    <xf numFmtId="1" fontId="4" fillId="0" borderId="0" xfId="2" applyNumberFormat="1" applyFont="1" applyAlignment="1">
      <alignment wrapText="1"/>
    </xf>
    <xf numFmtId="165" fontId="7" fillId="2" borderId="0" xfId="1" applyNumberFormat="1" applyFont="1" applyFill="1"/>
    <xf numFmtId="0" fontId="0" fillId="0" borderId="19" xfId="0" applyBorder="1"/>
    <xf numFmtId="37" fontId="7" fillId="2" borderId="30" xfId="3" applyNumberFormat="1" applyFont="1" applyFill="1" applyBorder="1" applyAlignment="1">
      <alignment horizontal="right"/>
    </xf>
    <xf numFmtId="0" fontId="15" fillId="0" borderId="42" xfId="0" applyFont="1" applyBorder="1" applyAlignment="1">
      <alignment vertical="top"/>
    </xf>
    <xf numFmtId="0" fontId="10" fillId="0" borderId="43" xfId="0" applyFont="1" applyBorder="1" applyAlignment="1">
      <alignment horizontal="right" vertical="center"/>
    </xf>
    <xf numFmtId="0" fontId="15" fillId="0" borderId="43" xfId="0" applyFont="1" applyBorder="1" applyAlignment="1">
      <alignment vertical="top"/>
    </xf>
    <xf numFmtId="0" fontId="16" fillId="0" borderId="43" xfId="0" applyFont="1" applyBorder="1" applyAlignment="1">
      <alignment horizontal="right" vertical="center"/>
    </xf>
    <xf numFmtId="0" fontId="10" fillId="0" borderId="44" xfId="0" applyFont="1" applyBorder="1" applyAlignment="1">
      <alignment horizontal="right" vertical="center"/>
    </xf>
    <xf numFmtId="0" fontId="10" fillId="0" borderId="45" xfId="0" applyFont="1" applyBorder="1" applyAlignment="1">
      <alignment horizontal="right" vertical="center"/>
    </xf>
    <xf numFmtId="0" fontId="16" fillId="0" borderId="45" xfId="0" applyFont="1" applyBorder="1" applyAlignment="1">
      <alignment horizontal="right" vertical="center"/>
    </xf>
    <xf numFmtId="0" fontId="16" fillId="0" borderId="44" xfId="0" applyFont="1" applyBorder="1" applyAlignment="1">
      <alignment horizontal="right" vertical="center"/>
    </xf>
    <xf numFmtId="164" fontId="7" fillId="0" borderId="21" xfId="1" applyNumberFormat="1" applyFont="1" applyBorder="1" applyAlignment="1">
      <alignment horizontal="right"/>
    </xf>
    <xf numFmtId="37" fontId="0" fillId="4" borderId="32" xfId="0" applyNumberFormat="1" applyFill="1" applyBorder="1" applyAlignment="1">
      <alignment horizontal="right"/>
    </xf>
    <xf numFmtId="39" fontId="0" fillId="4" borderId="33" xfId="0" applyNumberFormat="1" applyFill="1" applyBorder="1" applyAlignment="1">
      <alignment horizontal="right"/>
    </xf>
    <xf numFmtId="0" fontId="0" fillId="0" borderId="32" xfId="0" applyBorder="1"/>
    <xf numFmtId="165" fontId="7" fillId="0" borderId="20" xfId="1" applyNumberFormat="1" applyFont="1" applyBorder="1" applyAlignment="1">
      <alignment horizontal="right"/>
    </xf>
    <xf numFmtId="0" fontId="0" fillId="0" borderId="33" xfId="0" applyBorder="1"/>
    <xf numFmtId="165" fontId="7" fillId="0" borderId="23" xfId="1" applyNumberFormat="1" applyFont="1" applyBorder="1" applyAlignment="1">
      <alignment horizontal="right"/>
    </xf>
    <xf numFmtId="39" fontId="0" fillId="4" borderId="34" xfId="0" applyNumberFormat="1" applyFill="1" applyBorder="1" applyAlignment="1">
      <alignment horizontal="right"/>
    </xf>
    <xf numFmtId="0" fontId="0" fillId="0" borderId="31" xfId="0" applyBorder="1"/>
    <xf numFmtId="37" fontId="0" fillId="4" borderId="35" xfId="0" applyNumberFormat="1" applyFill="1" applyBorder="1" applyAlignment="1">
      <alignment horizontal="right"/>
    </xf>
    <xf numFmtId="164" fontId="7" fillId="0" borderId="24" xfId="1" quotePrefix="1" applyNumberFormat="1" applyFont="1" applyBorder="1" applyAlignment="1">
      <alignment horizontal="right"/>
    </xf>
    <xf numFmtId="164" fontId="7" fillId="0" borderId="24" xfId="1" applyNumberFormat="1" applyFont="1" applyBorder="1" applyAlignment="1">
      <alignment horizontal="right"/>
    </xf>
    <xf numFmtId="37" fontId="0" fillId="4" borderId="36" xfId="0" applyNumberFormat="1" applyFill="1" applyBorder="1" applyAlignment="1">
      <alignment horizontal="right"/>
    </xf>
    <xf numFmtId="165" fontId="7" fillId="0" borderId="25" xfId="1" applyNumberFormat="1" applyFont="1" applyBorder="1" applyAlignment="1">
      <alignment horizontal="right"/>
    </xf>
    <xf numFmtId="39" fontId="0" fillId="4" borderId="35" xfId="0" applyNumberFormat="1" applyFill="1" applyBorder="1" applyAlignment="1">
      <alignment horizontal="right"/>
    </xf>
    <xf numFmtId="0" fontId="0" fillId="0" borderId="26" xfId="0" applyBorder="1"/>
    <xf numFmtId="37" fontId="7" fillId="0" borderId="0" xfId="3" applyNumberFormat="1" applyFont="1" applyAlignment="1">
      <alignment horizontal="right"/>
    </xf>
    <xf numFmtId="37" fontId="0" fillId="4" borderId="37" xfId="0" applyNumberFormat="1" applyFill="1" applyBorder="1" applyAlignment="1">
      <alignment horizontal="right"/>
    </xf>
    <xf numFmtId="0" fontId="0" fillId="0" borderId="27" xfId="0" applyBorder="1"/>
    <xf numFmtId="39" fontId="0" fillId="4" borderId="36" xfId="0" applyNumberFormat="1" applyFill="1" applyBorder="1" applyAlignment="1">
      <alignment horizontal="right"/>
    </xf>
    <xf numFmtId="164" fontId="7" fillId="2" borderId="32" xfId="1" applyNumberFormat="1" applyFont="1" applyFill="1" applyBorder="1" applyAlignment="1">
      <alignment horizontal="right"/>
    </xf>
    <xf numFmtId="164" fontId="7" fillId="2" borderId="32" xfId="1" quotePrefix="1" applyNumberFormat="1" applyFont="1" applyFill="1" applyBorder="1" applyAlignment="1">
      <alignment horizontal="right"/>
    </xf>
    <xf numFmtId="165" fontId="7" fillId="2" borderId="33" xfId="1" applyNumberFormat="1" applyFont="1" applyFill="1" applyBorder="1" applyAlignment="1">
      <alignment horizontal="right"/>
    </xf>
    <xf numFmtId="165" fontId="7" fillId="2" borderId="34" xfId="1" applyNumberFormat="1" applyFont="1" applyFill="1" applyBorder="1" applyAlignment="1">
      <alignment horizontal="right"/>
    </xf>
    <xf numFmtId="164" fontId="7" fillId="2" borderId="35" xfId="1" applyNumberFormat="1" applyFont="1" applyFill="1" applyBorder="1" applyAlignment="1">
      <alignment horizontal="right"/>
    </xf>
    <xf numFmtId="164" fontId="7" fillId="2" borderId="35" xfId="1" quotePrefix="1" applyNumberFormat="1" applyFont="1" applyFill="1" applyBorder="1" applyAlignment="1">
      <alignment horizontal="right"/>
    </xf>
    <xf numFmtId="164" fontId="7" fillId="2" borderId="36" xfId="1" quotePrefix="1" applyNumberFormat="1" applyFont="1" applyFill="1" applyBorder="1" applyAlignment="1">
      <alignment horizontal="right"/>
    </xf>
    <xf numFmtId="37" fontId="7" fillId="2" borderId="32" xfId="3" applyNumberFormat="1" applyFont="1" applyFill="1" applyBorder="1" applyAlignment="1">
      <alignment horizontal="right"/>
    </xf>
    <xf numFmtId="165" fontId="7" fillId="2" borderId="35" xfId="1" applyNumberFormat="1" applyFont="1" applyFill="1" applyBorder="1" applyAlignment="1">
      <alignment horizontal="right"/>
    </xf>
    <xf numFmtId="37" fontId="7" fillId="2" borderId="37" xfId="3" applyNumberFormat="1" applyFont="1" applyFill="1" applyBorder="1"/>
    <xf numFmtId="165" fontId="7" fillId="2" borderId="36" xfId="1" applyNumberFormat="1" applyFont="1" applyFill="1" applyBorder="1"/>
    <xf numFmtId="37" fontId="0" fillId="4" borderId="30" xfId="0" applyNumberFormat="1" applyFill="1" applyBorder="1" applyAlignment="1">
      <alignment horizontal="right"/>
    </xf>
    <xf numFmtId="39" fontId="0" fillId="4" borderId="9" xfId="0" applyNumberFormat="1" applyFill="1" applyBorder="1" applyAlignment="1">
      <alignment horizontal="right"/>
    </xf>
    <xf numFmtId="39" fontId="0" fillId="4" borderId="31" xfId="0" applyNumberFormat="1" applyFill="1" applyBorder="1" applyAlignment="1">
      <alignment horizontal="right"/>
    </xf>
    <xf numFmtId="37" fontId="0" fillId="4" borderId="19" xfId="0" applyNumberFormat="1" applyFill="1" applyBorder="1" applyAlignment="1">
      <alignment horizontal="right"/>
    </xf>
    <xf numFmtId="37" fontId="0" fillId="4" borderId="18" xfId="0" applyNumberFormat="1" applyFill="1" applyBorder="1" applyAlignment="1">
      <alignment horizontal="right"/>
    </xf>
    <xf numFmtId="39" fontId="0" fillId="4" borderId="19" xfId="0" applyNumberFormat="1" applyFill="1" applyBorder="1" applyAlignment="1">
      <alignment horizontal="right"/>
    </xf>
    <xf numFmtId="0" fontId="11" fillId="0" borderId="0" xfId="0" applyFont="1" applyAlignment="1">
      <alignment horizontal="center" vertical="top" wrapText="1"/>
    </xf>
    <xf numFmtId="37" fontId="0" fillId="4" borderId="38" xfId="0" applyNumberFormat="1" applyFill="1" applyBorder="1" applyAlignment="1">
      <alignment horizontal="right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165" fontId="7" fillId="3" borderId="0" xfId="1" applyNumberFormat="1" applyFont="1" applyFill="1"/>
    <xf numFmtId="165" fontId="7" fillId="2" borderId="19" xfId="1" applyNumberFormat="1" applyFont="1" applyFill="1" applyBorder="1" applyAlignment="1">
      <alignment horizontal="right"/>
    </xf>
    <xf numFmtId="164" fontId="7" fillId="3" borderId="0" xfId="1" applyNumberFormat="1" applyFont="1" applyFill="1"/>
    <xf numFmtId="37" fontId="0" fillId="4" borderId="6" xfId="0" applyNumberFormat="1" applyFill="1" applyBorder="1" applyAlignment="1">
      <alignment horizontal="right"/>
    </xf>
    <xf numFmtId="0" fontId="0" fillId="0" borderId="6" xfId="0" applyBorder="1"/>
    <xf numFmtId="37" fontId="7" fillId="3" borderId="0" xfId="3" applyNumberFormat="1" applyFont="1" applyFill="1" applyAlignment="1">
      <alignment horizontal="right"/>
    </xf>
    <xf numFmtId="3" fontId="0" fillId="0" borderId="38" xfId="0" applyNumberFormat="1" applyBorder="1"/>
    <xf numFmtId="0" fontId="12" fillId="0" borderId="0" xfId="0" applyFont="1" applyAlignment="1">
      <alignment horizontal="center" vertical="top" wrapText="1"/>
    </xf>
    <xf numFmtId="164" fontId="7" fillId="0" borderId="38" xfId="1" applyNumberFormat="1" applyFont="1" applyBorder="1" applyAlignment="1">
      <alignment horizontal="right"/>
    </xf>
    <xf numFmtId="0" fontId="12" fillId="0" borderId="32" xfId="0" applyFont="1" applyBorder="1" applyAlignment="1">
      <alignment horizontal="center" vertical="top" wrapText="1"/>
    </xf>
    <xf numFmtId="0" fontId="0" fillId="0" borderId="38" xfId="0" applyBorder="1"/>
    <xf numFmtId="165" fontId="7" fillId="0" borderId="38" xfId="1" applyNumberFormat="1" applyFont="1" applyBorder="1" applyAlignment="1">
      <alignment horizontal="right"/>
    </xf>
    <xf numFmtId="0" fontId="12" fillId="0" borderId="34" xfId="0" applyFont="1" applyBorder="1" applyAlignment="1">
      <alignment horizontal="center" vertical="top" wrapText="1"/>
    </xf>
    <xf numFmtId="0" fontId="12" fillId="0" borderId="35" xfId="0" applyFont="1" applyBorder="1" applyAlignment="1">
      <alignment horizontal="center" vertical="top" wrapText="1"/>
    </xf>
    <xf numFmtId="3" fontId="12" fillId="0" borderId="34" xfId="0" applyNumberFormat="1" applyFont="1" applyBorder="1" applyAlignment="1">
      <alignment horizontal="center" vertical="top" wrapText="1"/>
    </xf>
    <xf numFmtId="3" fontId="0" fillId="0" borderId="39" xfId="0" applyNumberFormat="1" applyBorder="1"/>
    <xf numFmtId="164" fontId="7" fillId="0" borderId="39" xfId="1" applyNumberFormat="1" applyFont="1" applyBorder="1" applyAlignment="1">
      <alignment horizontal="right"/>
    </xf>
    <xf numFmtId="0" fontId="0" fillId="0" borderId="37" xfId="0" applyBorder="1"/>
    <xf numFmtId="37" fontId="7" fillId="3" borderId="0" xfId="3" applyNumberFormat="1" applyFont="1" applyFill="1"/>
    <xf numFmtId="3" fontId="12" fillId="0" borderId="0" xfId="0" applyNumberFormat="1" applyFont="1" applyAlignment="1">
      <alignment horizontal="center" vertical="top" wrapText="1"/>
    </xf>
    <xf numFmtId="37" fontId="7" fillId="0" borderId="0" xfId="3" applyNumberFormat="1" applyFont="1"/>
    <xf numFmtId="165" fontId="7" fillId="0" borderId="0" xfId="0" applyNumberFormat="1" applyFont="1" applyAlignment="1">
      <alignment horizontal="right"/>
    </xf>
    <xf numFmtId="164" fontId="7" fillId="5" borderId="30" xfId="0" applyNumberFormat="1" applyFont="1" applyFill="1" applyBorder="1" applyAlignment="1">
      <alignment horizontal="right"/>
    </xf>
    <xf numFmtId="166" fontId="0" fillId="4" borderId="9" xfId="0" applyNumberFormat="1" applyFill="1" applyBorder="1" applyAlignment="1">
      <alignment horizontal="right"/>
    </xf>
    <xf numFmtId="167" fontId="0" fillId="0" borderId="9" xfId="0" applyNumberFormat="1" applyBorder="1"/>
    <xf numFmtId="168" fontId="0" fillId="0" borderId="0" xfId="0" applyNumberFormat="1"/>
    <xf numFmtId="0" fontId="0" fillId="0" borderId="46" xfId="0" applyBorder="1"/>
    <xf numFmtId="0" fontId="17" fillId="0" borderId="0" xfId="0" applyFont="1"/>
    <xf numFmtId="0" fontId="17" fillId="0" borderId="31" xfId="0" applyFont="1" applyBorder="1"/>
    <xf numFmtId="0" fontId="17" fillId="0" borderId="9" xfId="0" applyFont="1" applyBorder="1"/>
    <xf numFmtId="10" fontId="0" fillId="0" borderId="0" xfId="0" applyNumberFormat="1"/>
    <xf numFmtId="10" fontId="17" fillId="0" borderId="0" xfId="0" applyNumberFormat="1" applyFont="1"/>
    <xf numFmtId="169" fontId="0" fillId="0" borderId="0" xfId="0" applyNumberFormat="1"/>
    <xf numFmtId="164" fontId="0" fillId="0" borderId="0" xfId="0" applyNumberFormat="1"/>
    <xf numFmtId="0" fontId="18" fillId="0" borderId="0" xfId="0" applyFont="1"/>
    <xf numFmtId="10" fontId="18" fillId="0" borderId="0" xfId="0" applyNumberFormat="1" applyFont="1"/>
    <xf numFmtId="1" fontId="4" fillId="0" borderId="0" xfId="2" applyNumberFormat="1" applyFont="1" applyAlignment="1">
      <alignment horizontal="center" wrapText="1"/>
    </xf>
    <xf numFmtId="164" fontId="7" fillId="0" borderId="0" xfId="1" applyNumberFormat="1" applyFont="1"/>
    <xf numFmtId="10" fontId="0" fillId="0" borderId="0" xfId="0" applyNumberFormat="1" applyAlignment="1">
      <alignment horizontal="right"/>
    </xf>
    <xf numFmtId="10" fontId="4" fillId="0" borderId="0" xfId="2" applyNumberFormat="1" applyFont="1" applyAlignment="1">
      <alignment horizontal="center" wrapText="1"/>
    </xf>
    <xf numFmtId="10" fontId="7" fillId="0" borderId="0" xfId="1" applyNumberFormat="1" applyFont="1" applyAlignment="1">
      <alignment horizontal="right"/>
    </xf>
    <xf numFmtId="169" fontId="18" fillId="0" borderId="0" xfId="0" applyNumberFormat="1" applyFont="1"/>
    <xf numFmtId="0" fontId="0" fillId="0" borderId="0" xfId="0" applyAlignment="1">
      <alignment wrapText="1"/>
    </xf>
    <xf numFmtId="10" fontId="7" fillId="2" borderId="9" xfId="1" applyNumberFormat="1" applyFont="1" applyFill="1" applyBorder="1" applyAlignment="1">
      <alignment horizontal="right"/>
    </xf>
    <xf numFmtId="169" fontId="7" fillId="0" borderId="0" xfId="1" applyNumberFormat="1" applyFont="1" applyAlignment="1">
      <alignment horizontal="right"/>
    </xf>
    <xf numFmtId="9" fontId="0" fillId="0" borderId="0" xfId="0" applyNumberFormat="1"/>
    <xf numFmtId="10" fontId="0" fillId="0" borderId="9" xfId="0" applyNumberFormat="1" applyBorder="1"/>
    <xf numFmtId="169" fontId="7" fillId="3" borderId="0" xfId="1" applyNumberFormat="1" applyFont="1" applyFill="1" applyAlignment="1">
      <alignment horizontal="right"/>
    </xf>
    <xf numFmtId="9" fontId="0" fillId="0" borderId="20" xfId="4" applyFont="1" applyBorder="1"/>
    <xf numFmtId="9" fontId="7" fillId="0" borderId="0" xfId="4" applyFont="1" applyAlignment="1">
      <alignment horizontal="right"/>
    </xf>
    <xf numFmtId="9" fontId="7" fillId="3" borderId="0" xfId="4" applyFont="1" applyFill="1" applyAlignment="1">
      <alignment horizontal="right"/>
    </xf>
    <xf numFmtId="9" fontId="7" fillId="2" borderId="9" xfId="4" applyFont="1" applyFill="1" applyBorder="1" applyAlignment="1">
      <alignment horizontal="right"/>
    </xf>
    <xf numFmtId="9" fontId="0" fillId="0" borderId="9" xfId="4" applyFont="1" applyBorder="1"/>
    <xf numFmtId="9" fontId="0" fillId="4" borderId="33" xfId="4" applyFont="1" applyFill="1" applyBorder="1" applyAlignment="1">
      <alignment horizontal="right"/>
    </xf>
    <xf numFmtId="9" fontId="7" fillId="3" borderId="9" xfId="4" applyFont="1" applyFill="1" applyBorder="1" applyAlignment="1">
      <alignment horizontal="right"/>
    </xf>
    <xf numFmtId="9" fontId="0" fillId="4" borderId="0" xfId="4" applyFont="1" applyFill="1" applyAlignment="1">
      <alignment horizontal="right"/>
    </xf>
    <xf numFmtId="10" fontId="7" fillId="3" borderId="9" xfId="1" applyNumberFormat="1" applyFont="1" applyFill="1" applyBorder="1" applyAlignment="1">
      <alignment horizontal="right"/>
    </xf>
    <xf numFmtId="10" fontId="0" fillId="4" borderId="0" xfId="0" applyNumberFormat="1" applyFill="1" applyAlignment="1">
      <alignment horizontal="right"/>
    </xf>
    <xf numFmtId="9" fontId="7" fillId="0" borderId="0" xfId="4" quotePrefix="1" applyFont="1" applyAlignment="1">
      <alignment horizontal="right"/>
    </xf>
    <xf numFmtId="169" fontId="10" fillId="0" borderId="0" xfId="1" applyNumberFormat="1" applyFont="1" applyAlignment="1">
      <alignment horizontal="right"/>
    </xf>
    <xf numFmtId="169" fontId="7" fillId="2" borderId="0" xfId="1" applyNumberFormat="1" applyFont="1" applyFill="1" applyAlignment="1">
      <alignment horizontal="right"/>
    </xf>
    <xf numFmtId="169" fontId="7" fillId="2" borderId="35" xfId="1" applyNumberFormat="1" applyFont="1" applyFill="1" applyBorder="1" applyAlignment="1">
      <alignment horizontal="right"/>
    </xf>
    <xf numFmtId="169" fontId="7" fillId="0" borderId="20" xfId="1" applyNumberFormat="1" applyFont="1" applyBorder="1" applyAlignment="1">
      <alignment horizontal="right"/>
    </xf>
    <xf numFmtId="169" fontId="0" fillId="4" borderId="35" xfId="0" applyNumberFormat="1" applyFill="1" applyBorder="1" applyAlignment="1">
      <alignment horizontal="right"/>
    </xf>
    <xf numFmtId="169" fontId="7" fillId="3" borderId="9" xfId="1" applyNumberFormat="1" applyFont="1" applyFill="1" applyBorder="1" applyAlignment="1">
      <alignment horizontal="right"/>
    </xf>
    <xf numFmtId="169" fontId="0" fillId="0" borderId="35" xfId="0" applyNumberFormat="1" applyBorder="1"/>
    <xf numFmtId="169" fontId="0" fillId="4" borderId="0" xfId="0" applyNumberFormat="1" applyFill="1" applyAlignment="1">
      <alignment horizontal="right"/>
    </xf>
    <xf numFmtId="0" fontId="0" fillId="6" borderId="0" xfId="0" applyFill="1"/>
    <xf numFmtId="164" fontId="7" fillId="6" borderId="32" xfId="1" applyNumberFormat="1" applyFont="1" applyFill="1" applyBorder="1" applyAlignment="1">
      <alignment horizontal="right"/>
    </xf>
    <xf numFmtId="165" fontId="7" fillId="6" borderId="34" xfId="1" applyNumberFormat="1" applyFont="1" applyFill="1" applyBorder="1" applyAlignment="1">
      <alignment horizontal="right"/>
    </xf>
    <xf numFmtId="164" fontId="7" fillId="6" borderId="35" xfId="1" applyNumberFormat="1" applyFont="1" applyFill="1" applyBorder="1" applyAlignment="1">
      <alignment horizontal="right"/>
    </xf>
    <xf numFmtId="164" fontId="7" fillId="6" borderId="35" xfId="1" quotePrefix="1" applyNumberFormat="1" applyFont="1" applyFill="1" applyBorder="1" applyAlignment="1">
      <alignment horizontal="right"/>
    </xf>
    <xf numFmtId="164" fontId="7" fillId="6" borderId="36" xfId="1" quotePrefix="1" applyNumberFormat="1" applyFont="1" applyFill="1" applyBorder="1" applyAlignment="1">
      <alignment horizontal="right"/>
    </xf>
    <xf numFmtId="165" fontId="7" fillId="6" borderId="33" xfId="1" applyNumberFormat="1" applyFont="1" applyFill="1" applyBorder="1" applyAlignment="1">
      <alignment horizontal="right"/>
    </xf>
    <xf numFmtId="0" fontId="0" fillId="6" borderId="33" xfId="0" applyFill="1" applyBorder="1"/>
    <xf numFmtId="164" fontId="7" fillId="6" borderId="32" xfId="1" quotePrefix="1" applyNumberFormat="1" applyFont="1" applyFill="1" applyBorder="1" applyAlignment="1">
      <alignment horizontal="right"/>
    </xf>
    <xf numFmtId="37" fontId="7" fillId="6" borderId="32" xfId="3" applyNumberFormat="1" applyFont="1" applyFill="1" applyBorder="1" applyAlignment="1">
      <alignment horizontal="right"/>
    </xf>
    <xf numFmtId="165" fontId="7" fillId="6" borderId="35" xfId="1" applyNumberFormat="1" applyFont="1" applyFill="1" applyBorder="1" applyAlignment="1">
      <alignment horizontal="right"/>
    </xf>
    <xf numFmtId="37" fontId="7" fillId="6" borderId="37" xfId="3" applyNumberFormat="1" applyFont="1" applyFill="1" applyBorder="1"/>
    <xf numFmtId="165" fontId="7" fillId="6" borderId="36" xfId="1" applyNumberFormat="1" applyFont="1" applyFill="1" applyBorder="1"/>
    <xf numFmtId="164" fontId="7" fillId="6" borderId="0" xfId="1" applyNumberFormat="1" applyFont="1" applyFill="1" applyAlignment="1">
      <alignment horizontal="right"/>
    </xf>
    <xf numFmtId="0" fontId="9" fillId="6" borderId="0" xfId="0" applyFont="1" applyFill="1"/>
    <xf numFmtId="0" fontId="7" fillId="6" borderId="0" xfId="1" applyFont="1" applyFill="1"/>
    <xf numFmtId="1" fontId="4" fillId="0" borderId="10" xfId="2" applyNumberFormat="1" applyFont="1" applyBorder="1" applyAlignment="1">
      <alignment horizontal="center" wrapText="1"/>
    </xf>
    <xf numFmtId="0" fontId="19" fillId="0" borderId="0" xfId="0" applyFont="1"/>
    <xf numFmtId="0" fontId="20" fillId="0" borderId="49" xfId="0" applyFont="1" applyBorder="1" applyAlignment="1">
      <alignment horizontal="center" vertical="top"/>
    </xf>
    <xf numFmtId="1" fontId="4" fillId="0" borderId="2" xfId="0" applyNumberFormat="1" applyFont="1" applyBorder="1" applyAlignment="1">
      <alignment horizontal="center" wrapText="1"/>
    </xf>
    <xf numFmtId="0" fontId="20" fillId="0" borderId="11" xfId="0" applyFont="1" applyBorder="1" applyAlignment="1">
      <alignment horizontal="center" vertical="top"/>
    </xf>
    <xf numFmtId="0" fontId="18" fillId="0" borderId="49" xfId="0" applyFont="1" applyBorder="1" applyAlignment="1">
      <alignment wrapText="1"/>
    </xf>
    <xf numFmtId="1" fontId="21" fillId="0" borderId="49" xfId="2" applyNumberFormat="1" applyFont="1" applyBorder="1" applyAlignment="1">
      <alignment horizontal="center" wrapText="1"/>
    </xf>
    <xf numFmtId="0" fontId="22" fillId="0" borderId="49" xfId="0" applyFont="1" applyBorder="1" applyAlignment="1">
      <alignment horizontal="center" vertical="top" wrapText="1"/>
    </xf>
    <xf numFmtId="0" fontId="0" fillId="0" borderId="49" xfId="0" applyBorder="1"/>
    <xf numFmtId="164" fontId="23" fillId="0" borderId="49" xfId="1" applyNumberFormat="1" applyFont="1" applyBorder="1" applyAlignment="1">
      <alignment horizontal="right"/>
    </xf>
    <xf numFmtId="10" fontId="0" fillId="0" borderId="49" xfId="0" applyNumberFormat="1" applyBorder="1"/>
    <xf numFmtId="164" fontId="24" fillId="0" borderId="49" xfId="1" applyNumberFormat="1" applyFont="1" applyBorder="1" applyAlignment="1">
      <alignment horizontal="right"/>
    </xf>
    <xf numFmtId="0" fontId="19" fillId="0" borderId="49" xfId="0" applyFont="1" applyBorder="1"/>
    <xf numFmtId="165" fontId="7" fillId="0" borderId="49" xfId="1" applyNumberFormat="1" applyFont="1" applyBorder="1" applyAlignment="1">
      <alignment horizontal="right"/>
    </xf>
    <xf numFmtId="165" fontId="7" fillId="2" borderId="49" xfId="1" applyNumberFormat="1" applyFont="1" applyFill="1" applyBorder="1" applyAlignment="1">
      <alignment horizontal="right"/>
    </xf>
    <xf numFmtId="39" fontId="0" fillId="4" borderId="49" xfId="0" applyNumberFormat="1" applyFill="1" applyBorder="1" applyAlignment="1">
      <alignment horizontal="right"/>
    </xf>
    <xf numFmtId="0" fontId="25" fillId="0" borderId="0" xfId="0" applyFont="1" applyAlignment="1">
      <alignment horizontal="left" vertical="center" readingOrder="1"/>
    </xf>
    <xf numFmtId="1" fontId="4" fillId="0" borderId="6" xfId="2" applyNumberFormat="1" applyFont="1" applyBorder="1" applyAlignment="1">
      <alignment horizontal="center" vertical="center" wrapText="1"/>
    </xf>
    <xf numFmtId="1" fontId="4" fillId="0" borderId="1" xfId="2" applyNumberFormat="1" applyFont="1" applyBorder="1" applyAlignment="1">
      <alignment horizontal="center" vertical="center" wrapText="1"/>
    </xf>
    <xf numFmtId="1" fontId="4" fillId="0" borderId="16" xfId="2" applyNumberFormat="1" applyFont="1" applyBorder="1" applyAlignment="1">
      <alignment horizontal="center" vertical="center" wrapText="1"/>
    </xf>
    <xf numFmtId="1" fontId="4" fillId="0" borderId="17" xfId="2" applyNumberFormat="1" applyFont="1" applyBorder="1" applyAlignment="1">
      <alignment horizontal="center" vertical="center" wrapText="1"/>
    </xf>
    <xf numFmtId="1" fontId="4" fillId="0" borderId="14" xfId="2" applyNumberFormat="1" applyFont="1" applyBorder="1" applyAlignment="1">
      <alignment horizontal="center" wrapText="1"/>
    </xf>
    <xf numFmtId="1" fontId="4" fillId="0" borderId="12" xfId="2" applyNumberFormat="1" applyFont="1" applyBorder="1" applyAlignment="1">
      <alignment horizontal="center" wrapText="1"/>
    </xf>
    <xf numFmtId="1" fontId="4" fillId="0" borderId="47" xfId="2" applyNumberFormat="1" applyFont="1" applyBorder="1" applyAlignment="1">
      <alignment horizontal="center" vertical="center" wrapText="1"/>
    </xf>
    <xf numFmtId="1" fontId="4" fillId="0" borderId="48" xfId="2" applyNumberFormat="1" applyFont="1" applyBorder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 wrapText="1"/>
    </xf>
    <xf numFmtId="1" fontId="4" fillId="0" borderId="7" xfId="2" applyNumberFormat="1" applyFont="1" applyBorder="1" applyAlignment="1">
      <alignment horizontal="center" wrapText="1"/>
    </xf>
    <xf numFmtId="1" fontId="4" fillId="0" borderId="18" xfId="2" applyNumberFormat="1" applyFont="1" applyBorder="1" applyAlignment="1">
      <alignment horizontal="center" wrapText="1"/>
    </xf>
    <xf numFmtId="1" fontId="4" fillId="0" borderId="8" xfId="2" applyNumberFormat="1" applyFont="1" applyBorder="1" applyAlignment="1">
      <alignment horizontal="center" wrapText="1"/>
    </xf>
    <xf numFmtId="1" fontId="6" fillId="0" borderId="19" xfId="2" applyNumberFormat="1" applyFont="1" applyBorder="1" applyAlignment="1">
      <alignment horizontal="center" wrapText="1"/>
    </xf>
    <xf numFmtId="1" fontId="4" fillId="0" borderId="11" xfId="2" applyNumberFormat="1" applyFont="1" applyBorder="1" applyAlignment="1">
      <alignment horizontal="center" wrapText="1"/>
    </xf>
    <xf numFmtId="1" fontId="4" fillId="0" borderId="13" xfId="2" applyNumberFormat="1" applyFont="1" applyBorder="1" applyAlignment="1">
      <alignment horizontal="center" wrapText="1"/>
    </xf>
    <xf numFmtId="1" fontId="4" fillId="0" borderId="15" xfId="2" applyNumberFormat="1" applyFont="1" applyBorder="1" applyAlignment="1">
      <alignment horizontal="center" wrapText="1"/>
    </xf>
    <xf numFmtId="0" fontId="4" fillId="0" borderId="1" xfId="2" applyFont="1" applyBorder="1" applyAlignment="1">
      <alignment horizontal="left"/>
    </xf>
    <xf numFmtId="0" fontId="4" fillId="0" borderId="9" xfId="2" applyFont="1" applyBorder="1" applyAlignment="1">
      <alignment horizontal="left"/>
    </xf>
    <xf numFmtId="1" fontId="4" fillId="0" borderId="2" xfId="2" applyNumberFormat="1" applyFont="1" applyBorder="1" applyAlignment="1">
      <alignment horizontal="center" wrapText="1"/>
    </xf>
    <xf numFmtId="1" fontId="4" fillId="0" borderId="10" xfId="2" applyNumberFormat="1" applyFont="1" applyBorder="1" applyAlignment="1">
      <alignment horizontal="center" wrapText="1"/>
    </xf>
    <xf numFmtId="1" fontId="4" fillId="0" borderId="3" xfId="2" applyNumberFormat="1" applyFont="1" applyBorder="1" applyAlignment="1">
      <alignment horizontal="center" vertical="center"/>
    </xf>
    <xf numFmtId="1" fontId="4" fillId="0" borderId="4" xfId="2" applyNumberFormat="1" applyFont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center" vertical="center" wrapText="1"/>
    </xf>
    <xf numFmtId="1" fontId="4" fillId="0" borderId="22" xfId="0" applyNumberFormat="1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2 2" xfId="3" xr:uid="{00000000-0005-0000-0000-000001000000}"/>
    <cellStyle name="Normal 3" xfId="1" xr:uid="{00000000-0005-0000-0000-000002000000}"/>
    <cellStyle name="Normal 6" xfId="2" xr:uid="{00000000-0005-0000-0000-000003000000}"/>
    <cellStyle name="Percent" xfId="4" builtinId="5"/>
  </cellStyles>
  <dxfs count="0"/>
  <tableStyles count="0" defaultTableStyle="TableStyleMedium2" defaultPivotStyle="PivotStyleLight16"/>
  <colors>
    <mruColors>
      <color rgb="FF196B24"/>
      <color rgb="FFFF751C"/>
      <color rgb="FFAEAEAE"/>
      <color rgb="FF66B871"/>
      <color rgb="FFFFC269"/>
      <color rgb="FF5E75FF"/>
      <color rgb="FF1A3D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Race/ Ethnicity of students who were expelled in Illinois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'Scrap 1'!$D$27</c:f>
              <c:strCache>
                <c:ptCount val="1"/>
                <c:pt idx="0">
                  <c:v>American Indian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'Scrap 1'!$C$28:$C$33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1'!$D$28:$D$33</c:f>
              <c:numCache>
                <c:formatCode>#,##0.0_)</c:formatCode>
                <c:ptCount val="6"/>
                <c:pt idx="0">
                  <c:v>0.3</c:v>
                </c:pt>
                <c:pt idx="1">
                  <c:v>0.32123353678124</c:v>
                </c:pt>
                <c:pt idx="2">
                  <c:v>0.5</c:v>
                </c:pt>
                <c:pt idx="3">
                  <c:v>0.18820000000000001</c:v>
                </c:pt>
                <c:pt idx="4" formatCode="General">
                  <c:v>0</c:v>
                </c:pt>
                <c:pt idx="5" formatCode="#,##0.00_);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C-4D59-81EC-712DCAD8A897}"/>
            </c:ext>
          </c:extLst>
        </c:ser>
        <c:ser>
          <c:idx val="1"/>
          <c:order val="1"/>
          <c:tx>
            <c:strRef>
              <c:f>'Scrap 1'!$E$27</c:f>
              <c:strCache>
                <c:ptCount val="1"/>
                <c:pt idx="0">
                  <c:v>Asian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'Scrap 1'!$C$28:$C$33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1'!$E$28:$E$33</c:f>
              <c:numCache>
                <c:formatCode>#,##0.0_)</c:formatCode>
                <c:ptCount val="6"/>
                <c:pt idx="0">
                  <c:v>0.3</c:v>
                </c:pt>
                <c:pt idx="1">
                  <c:v>0.38548024413748799</c:v>
                </c:pt>
                <c:pt idx="2">
                  <c:v>0.7</c:v>
                </c:pt>
                <c:pt idx="3">
                  <c:v>0.70589999999999997</c:v>
                </c:pt>
                <c:pt idx="4" formatCode="General">
                  <c:v>0</c:v>
                </c:pt>
                <c:pt idx="5" formatCode="#,##0.00_);\(#,##0.00\)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7C-4D59-81EC-712DCAD8A897}"/>
            </c:ext>
          </c:extLst>
        </c:ser>
        <c:ser>
          <c:idx val="2"/>
          <c:order val="2"/>
          <c:tx>
            <c:strRef>
              <c:f>'Scrap 1'!$F$27</c:f>
              <c:strCache>
                <c:ptCount val="1"/>
                <c:pt idx="0">
                  <c:v>Hispanic/ Latinx</c:v>
                </c:pt>
              </c:strCache>
            </c:strRef>
          </c:tx>
          <c:spPr>
            <a:ln w="28575" cap="rnd">
              <a:solidFill>
                <a:srgbClr val="AEAEAE"/>
              </a:solidFill>
              <a:round/>
            </a:ln>
            <a:effectLst/>
          </c:spPr>
          <c:marker>
            <c:symbol val="none"/>
          </c:marker>
          <c:cat>
            <c:strRef>
              <c:f>'Scrap 1'!$C$28:$C$33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1'!$F$28:$F$33</c:f>
              <c:numCache>
                <c:formatCode>#,##0.0_)</c:formatCode>
                <c:ptCount val="6"/>
                <c:pt idx="0">
                  <c:v>27.5</c:v>
                </c:pt>
                <c:pt idx="1">
                  <c:v>17.8927079987151</c:v>
                </c:pt>
                <c:pt idx="2">
                  <c:v>8.6</c:v>
                </c:pt>
                <c:pt idx="3">
                  <c:v>16.7059</c:v>
                </c:pt>
                <c:pt idx="4" formatCode="General">
                  <c:v>0</c:v>
                </c:pt>
                <c:pt idx="5" formatCode="#,##0.00_);\(#,##0.00\)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7C-4D59-81EC-712DCAD8A897}"/>
            </c:ext>
          </c:extLst>
        </c:ser>
        <c:ser>
          <c:idx val="3"/>
          <c:order val="3"/>
          <c:tx>
            <c:strRef>
              <c:f>'Scrap 1'!$G$27</c:f>
              <c:strCache>
                <c:ptCount val="1"/>
                <c:pt idx="0">
                  <c:v>Black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none"/>
          </c:marker>
          <c:cat>
            <c:strRef>
              <c:f>'Scrap 1'!$C$28:$C$33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1'!$G$28:$G$33</c:f>
              <c:numCache>
                <c:formatCode>#,##0.0_)</c:formatCode>
                <c:ptCount val="6"/>
                <c:pt idx="0">
                  <c:v>31</c:v>
                </c:pt>
                <c:pt idx="1">
                  <c:v>44.555091551558</c:v>
                </c:pt>
                <c:pt idx="2">
                  <c:v>46.6</c:v>
                </c:pt>
                <c:pt idx="3">
                  <c:v>46.4</c:v>
                </c:pt>
                <c:pt idx="4" formatCode="General">
                  <c:v>0</c:v>
                </c:pt>
                <c:pt idx="5" formatCode="#,##0.00_);\(#,##0.00\)">
                  <c:v>15.29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7C-4D59-81EC-712DCAD8A897}"/>
            </c:ext>
          </c:extLst>
        </c:ser>
        <c:ser>
          <c:idx val="4"/>
          <c:order val="4"/>
          <c:tx>
            <c:strRef>
              <c:f>'Scrap 1'!$H$27</c:f>
              <c:strCache>
                <c:ptCount val="1"/>
                <c:pt idx="0">
                  <c:v>White</c:v>
                </c:pt>
              </c:strCache>
            </c:strRef>
          </c:tx>
          <c:spPr>
            <a:ln w="28575" cap="rnd">
              <a:solidFill>
                <a:srgbClr val="1A3D66"/>
              </a:solidFill>
              <a:round/>
            </a:ln>
            <a:effectLst/>
          </c:spPr>
          <c:marker>
            <c:symbol val="none"/>
          </c:marker>
          <c:cat>
            <c:strRef>
              <c:f>'Scrap 1'!$C$28:$C$33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1'!$H$28:$H$33</c:f>
              <c:numCache>
                <c:formatCode>#,##0.0_)</c:formatCode>
                <c:ptCount val="6"/>
                <c:pt idx="0">
                  <c:v>55.9</c:v>
                </c:pt>
                <c:pt idx="1">
                  <c:v>33.825891423064597</c:v>
                </c:pt>
                <c:pt idx="2">
                  <c:v>39.299999999999997</c:v>
                </c:pt>
                <c:pt idx="3">
                  <c:v>31.905899999999999</c:v>
                </c:pt>
                <c:pt idx="4" formatCode="General">
                  <c:v>0</c:v>
                </c:pt>
                <c:pt idx="5" formatCode="#,##0.00_);\(#,##0.00\)">
                  <c:v>68.47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7C-4D59-81EC-712DCAD8A897}"/>
            </c:ext>
          </c:extLst>
        </c:ser>
        <c:ser>
          <c:idx val="5"/>
          <c:order val="5"/>
          <c:tx>
            <c:strRef>
              <c:f>'Scrap 1'!$I$27</c:f>
              <c:strCache>
                <c:ptCount val="1"/>
                <c:pt idx="0">
                  <c:v>Hawaiian</c:v>
                </c:pt>
              </c:strCache>
            </c:strRef>
          </c:tx>
          <c:spPr>
            <a:ln w="28575" cap="rnd">
              <a:solidFill>
                <a:srgbClr val="FFC269"/>
              </a:solidFill>
              <a:round/>
            </a:ln>
            <a:effectLst/>
          </c:spPr>
          <c:marker>
            <c:symbol val="none"/>
          </c:marker>
          <c:cat>
            <c:strRef>
              <c:f>'Scrap 1'!$C$28:$C$33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1'!$I$28:$I$33</c:f>
              <c:numCache>
                <c:formatCode>#,##0.0_)</c:formatCode>
                <c:ptCount val="6"/>
                <c:pt idx="1">
                  <c:v>0</c:v>
                </c:pt>
                <c:pt idx="2">
                  <c:v>0</c:v>
                </c:pt>
                <c:pt idx="3">
                  <c:v>4.7100000000000003E-2</c:v>
                </c:pt>
                <c:pt idx="4" formatCode="General">
                  <c:v>0</c:v>
                </c:pt>
                <c:pt idx="5" formatCode="#,##0.00_);\(#,##0.00\)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7C-4D59-81EC-712DCAD8A897}"/>
            </c:ext>
          </c:extLst>
        </c:ser>
        <c:ser>
          <c:idx val="6"/>
          <c:order val="6"/>
          <c:tx>
            <c:strRef>
              <c:f>'Scrap 1'!$J$27</c:f>
              <c:strCache>
                <c:ptCount val="1"/>
                <c:pt idx="0">
                  <c:v>Two or more races</c:v>
                </c:pt>
              </c:strCache>
            </c:strRef>
          </c:tx>
          <c:spPr>
            <a:ln w="28575" cap="rnd">
              <a:solidFill>
                <a:srgbClr val="66B871"/>
              </a:solidFill>
              <a:round/>
            </a:ln>
            <a:effectLst/>
          </c:spPr>
          <c:marker>
            <c:symbol val="none"/>
          </c:marker>
          <c:cat>
            <c:strRef>
              <c:f>'Scrap 1'!$C$28:$C$33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1'!$J$28:$J$33</c:f>
              <c:numCache>
                <c:formatCode>#,##0.0_)</c:formatCode>
                <c:ptCount val="6"/>
                <c:pt idx="1">
                  <c:v>3.0195952457436599</c:v>
                </c:pt>
                <c:pt idx="2">
                  <c:v>4.2</c:v>
                </c:pt>
                <c:pt idx="3">
                  <c:v>4.0471000000000004</c:v>
                </c:pt>
                <c:pt idx="4" formatCode="General">
                  <c:v>0</c:v>
                </c:pt>
                <c:pt idx="5" formatCode="#,##0.00_);\(#,##0.00\)">
                  <c:v>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7C-4D59-81EC-712DCAD8A897}"/>
            </c:ext>
          </c:extLst>
        </c:ser>
        <c:ser>
          <c:idx val="7"/>
          <c:order val="7"/>
          <c:tx>
            <c:strRef>
              <c:f>'Scrap 1'!$K$27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'Scrap 1'!$C$28:$C$33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1'!$K$28:$K$33</c:f>
              <c:numCache>
                <c:formatCode>#,##0.0_)</c:formatCode>
                <c:ptCount val="6"/>
                <c:pt idx="0" formatCode="General">
                  <c:v>18.100000000000001</c:v>
                </c:pt>
                <c:pt idx="1">
                  <c:v>27.4</c:v>
                </c:pt>
                <c:pt idx="2">
                  <c:v>19.8</c:v>
                </c:pt>
                <c:pt idx="3">
                  <c:v>18.7</c:v>
                </c:pt>
                <c:pt idx="4">
                  <c:v>13.2</c:v>
                </c:pt>
                <c:pt idx="5" formatCode="#,##0.0_);\(#,##0.0\)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C7C-4D59-81EC-712DCAD8A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035407"/>
        <c:axId val="1769098096"/>
      </c:lineChart>
      <c:catAx>
        <c:axId val="41703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98096"/>
        <c:crosses val="autoZero"/>
        <c:auto val="1"/>
        <c:lblAlgn val="ctr"/>
        <c:lblOffset val="100"/>
        <c:noMultiLvlLbl val="0"/>
      </c:catAx>
      <c:valAx>
        <c:axId val="1769098096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354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Male and Female Students who were Expelled in Illinois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'Scrap 1'!$D$62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'Scrap 1'!$C$63:$C$68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1'!$D$63:$D$68</c:f>
              <c:numCache>
                <c:formatCode>0.00%</c:formatCode>
                <c:ptCount val="6"/>
                <c:pt idx="0">
                  <c:v>0.18099999999999999</c:v>
                </c:pt>
                <c:pt idx="1">
                  <c:v>0.27400000000000002</c:v>
                </c:pt>
                <c:pt idx="2">
                  <c:v>0.19800000000000001</c:v>
                </c:pt>
                <c:pt idx="3">
                  <c:v>0.187</c:v>
                </c:pt>
                <c:pt idx="4">
                  <c:v>0.13200000000000001</c:v>
                </c:pt>
                <c:pt idx="5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3-409F-A5B9-0EFD12C9F787}"/>
            </c:ext>
          </c:extLst>
        </c:ser>
        <c:ser>
          <c:idx val="1"/>
          <c:order val="1"/>
          <c:tx>
            <c:strRef>
              <c:f>'Scrap 1'!$E$62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196B24"/>
              </a:solidFill>
              <a:round/>
            </a:ln>
            <a:effectLst/>
          </c:spPr>
          <c:marker>
            <c:symbol val="none"/>
          </c:marker>
          <c:cat>
            <c:strRef>
              <c:f>'Scrap 1'!$C$63:$C$68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1'!$E$63:$E$68</c:f>
              <c:numCache>
                <c:formatCode>0.00%</c:formatCode>
                <c:ptCount val="6"/>
                <c:pt idx="0">
                  <c:v>0.71299999999999997</c:v>
                </c:pt>
                <c:pt idx="1">
                  <c:v>0.70399999999999996</c:v>
                </c:pt>
                <c:pt idx="2">
                  <c:v>0.69899999999999995</c:v>
                </c:pt>
                <c:pt idx="3">
                  <c:v>0.68799999999999994</c:v>
                </c:pt>
                <c:pt idx="4">
                  <c:v>0.67300000000000004</c:v>
                </c:pt>
                <c:pt idx="5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A3-409F-A5B9-0EFD12C9F787}"/>
            </c:ext>
          </c:extLst>
        </c:ser>
        <c:ser>
          <c:idx val="2"/>
          <c:order val="2"/>
          <c:tx>
            <c:strRef>
              <c:f>'Scrap 1'!$F$62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none"/>
          </c:marker>
          <c:cat>
            <c:strRef>
              <c:f>'Scrap 1'!$C$63:$C$68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1'!$F$63:$F$68</c:f>
              <c:numCache>
                <c:formatCode>0.00%</c:formatCode>
                <c:ptCount val="6"/>
                <c:pt idx="0">
                  <c:v>0.28599999999999998</c:v>
                </c:pt>
                <c:pt idx="1">
                  <c:v>0.29599999999999999</c:v>
                </c:pt>
                <c:pt idx="2">
                  <c:v>0.30099999999999999</c:v>
                </c:pt>
                <c:pt idx="3">
                  <c:v>0.312</c:v>
                </c:pt>
                <c:pt idx="4">
                  <c:v>0.32700000000000001</c:v>
                </c:pt>
                <c:pt idx="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A3-409F-A5B9-0EFD12C9F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743887"/>
        <c:axId val="603625296"/>
      </c:lineChart>
      <c:catAx>
        <c:axId val="67674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25296"/>
        <c:crosses val="autoZero"/>
        <c:auto val="1"/>
        <c:lblAlgn val="ctr"/>
        <c:lblOffset val="100"/>
        <c:noMultiLvlLbl val="0"/>
      </c:catAx>
      <c:valAx>
        <c:axId val="60362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4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Total Students Expelled in Illinois with respect to Total Students Expelled in the United States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'Scrap 1'!$B$99</c:f>
              <c:strCache>
                <c:ptCount val="1"/>
                <c:pt idx="0">
                  <c:v>Percentage (%)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cat>
            <c:strRef>
              <c:f>'Scrap 1'!$A$100:$A$105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1'!$B$100:$B$105</c:f>
              <c:numCache>
                <c:formatCode>0.00%</c:formatCode>
                <c:ptCount val="6"/>
                <c:pt idx="0">
                  <c:v>0.02</c:v>
                </c:pt>
                <c:pt idx="1">
                  <c:v>3.5000000000000003E-2</c:v>
                </c:pt>
                <c:pt idx="2">
                  <c:v>2.7E-2</c:v>
                </c:pt>
                <c:pt idx="3">
                  <c:v>2.8000000000000001E-2</c:v>
                </c:pt>
                <c:pt idx="4">
                  <c:v>0.02</c:v>
                </c:pt>
                <c:pt idx="5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5-43F8-97F3-F283F90BB95D}"/>
            </c:ext>
          </c:extLst>
        </c:ser>
        <c:ser>
          <c:idx val="1"/>
          <c:order val="1"/>
          <c:tx>
            <c:strRef>
              <c:f>'Scrap 1'!$C$99</c:f>
              <c:strCache>
                <c:ptCount val="1"/>
                <c:pt idx="0">
                  <c:v>Percentage Male (%)</c:v>
                </c:pt>
              </c:strCache>
            </c:strRef>
          </c:tx>
          <c:spPr>
            <a:ln w="28575" cap="rnd">
              <a:solidFill>
                <a:srgbClr val="196B2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96B24"/>
              </a:solidFill>
              <a:ln w="9525">
                <a:solidFill>
                  <a:srgbClr val="196B24"/>
                </a:solidFill>
              </a:ln>
              <a:effectLst/>
            </c:spPr>
          </c:marker>
          <c:cat>
            <c:strRef>
              <c:f>'Scrap 1'!$A$100:$A$105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1'!$C$100:$C$105</c:f>
              <c:numCache>
                <c:formatCode>0.00%</c:formatCode>
                <c:ptCount val="6"/>
                <c:pt idx="0">
                  <c:v>1.9E-2</c:v>
                </c:pt>
                <c:pt idx="1">
                  <c:v>3.4000000000000002E-2</c:v>
                </c:pt>
                <c:pt idx="2">
                  <c:v>2.5999999999999999E-2</c:v>
                </c:pt>
                <c:pt idx="3">
                  <c:v>2.7E-2</c:v>
                </c:pt>
                <c:pt idx="4">
                  <c:v>1.9E-2</c:v>
                </c:pt>
                <c:pt idx="5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35-43F8-97F3-F283F90BB95D}"/>
            </c:ext>
          </c:extLst>
        </c:ser>
        <c:ser>
          <c:idx val="2"/>
          <c:order val="2"/>
          <c:tx>
            <c:strRef>
              <c:f>'Scrap 1'!$D$99</c:f>
              <c:strCache>
                <c:ptCount val="1"/>
                <c:pt idx="0">
                  <c:v>Percentage Female (%)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51C"/>
              </a:solidFill>
              <a:ln w="9525">
                <a:solidFill>
                  <a:srgbClr val="FF751C"/>
                </a:solidFill>
              </a:ln>
              <a:effectLst/>
            </c:spPr>
          </c:marker>
          <c:cat>
            <c:strRef>
              <c:f>'Scrap 1'!$A$100:$A$105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1'!$D$100:$D$105</c:f>
              <c:numCache>
                <c:formatCode>0.00%</c:formatCode>
                <c:ptCount val="6"/>
                <c:pt idx="0">
                  <c:v>2.1999999999999999E-2</c:v>
                </c:pt>
                <c:pt idx="1">
                  <c:v>3.9E-2</c:v>
                </c:pt>
                <c:pt idx="2">
                  <c:v>2.9000000000000001E-2</c:v>
                </c:pt>
                <c:pt idx="3">
                  <c:v>0.03</c:v>
                </c:pt>
                <c:pt idx="4">
                  <c:v>2.1999999999999999E-2</c:v>
                </c:pt>
                <c:pt idx="5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35-43F8-97F3-F283F90BB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453744"/>
        <c:axId val="1665179328"/>
      </c:lineChart>
      <c:catAx>
        <c:axId val="15184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79328"/>
        <c:crosses val="autoZero"/>
        <c:auto val="1"/>
        <c:lblAlgn val="ctr"/>
        <c:lblOffset val="100"/>
        <c:noMultiLvlLbl val="0"/>
      </c:catAx>
      <c:valAx>
        <c:axId val="16651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4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Total Students Expelled in Illinois with respect to Total Students Expelled in the United States by Disability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'Scrap 1'!$C$80</c:f>
              <c:strCache>
                <c:ptCount val="1"/>
                <c:pt idx="0">
                  <c:v>Percentage Female (%)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'Scrap 1'!$B$81:$B$86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1'!$C$81:$C$86</c:f>
              <c:numCache>
                <c:formatCode>0.0%</c:formatCode>
                <c:ptCount val="6"/>
                <c:pt idx="0">
                  <c:v>2.1000000000000001E-2</c:v>
                </c:pt>
                <c:pt idx="1">
                  <c:v>3.7999999999999999E-2</c:v>
                </c:pt>
                <c:pt idx="2">
                  <c:v>2.8000000000000001E-2</c:v>
                </c:pt>
                <c:pt idx="3">
                  <c:v>0.03</c:v>
                </c:pt>
                <c:pt idx="4">
                  <c:v>2.1999999999999999E-2</c:v>
                </c:pt>
                <c:pt idx="5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2-4B64-B3D2-750B66CA80C8}"/>
            </c:ext>
          </c:extLst>
        </c:ser>
        <c:ser>
          <c:idx val="1"/>
          <c:order val="1"/>
          <c:tx>
            <c:strRef>
              <c:f>'Scrap 1'!$D$80</c:f>
              <c:strCache>
                <c:ptCount val="1"/>
                <c:pt idx="0">
                  <c:v>Percentage Female SWD (%)</c:v>
                </c:pt>
              </c:strCache>
            </c:strRef>
          </c:tx>
          <c:spPr>
            <a:ln w="28575" cap="rnd">
              <a:solidFill>
                <a:srgbClr val="1A3D66"/>
              </a:solidFill>
              <a:round/>
            </a:ln>
            <a:effectLst/>
          </c:spPr>
          <c:marker>
            <c:symbol val="none"/>
          </c:marker>
          <c:cat>
            <c:strRef>
              <c:f>'Scrap 1'!$B$81:$B$86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1'!$D$81:$D$86</c:f>
              <c:numCache>
                <c:formatCode>0.0%</c:formatCode>
                <c:ptCount val="6"/>
                <c:pt idx="0">
                  <c:v>1.7999999999999999E-2</c:v>
                </c:pt>
                <c:pt idx="1">
                  <c:v>3.1E-2</c:v>
                </c:pt>
                <c:pt idx="2">
                  <c:v>2.1999999999999999E-2</c:v>
                </c:pt>
                <c:pt idx="3">
                  <c:v>3.1E-2</c:v>
                </c:pt>
                <c:pt idx="4">
                  <c:v>2.1000000000000001E-2</c:v>
                </c:pt>
                <c:pt idx="5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B2-4B64-B3D2-750B66CA80C8}"/>
            </c:ext>
          </c:extLst>
        </c:ser>
        <c:ser>
          <c:idx val="2"/>
          <c:order val="2"/>
          <c:tx>
            <c:strRef>
              <c:f>'Scrap 1'!$E$80</c:f>
              <c:strCache>
                <c:ptCount val="1"/>
                <c:pt idx="0">
                  <c:v>Percentage Female SWOD (%)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'Scrap 1'!$B$81:$B$86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1'!$E$81:$E$86</c:f>
              <c:numCache>
                <c:formatCode>0.0%</c:formatCode>
                <c:ptCount val="6"/>
                <c:pt idx="0">
                  <c:v>2.1999999999999999E-2</c:v>
                </c:pt>
                <c:pt idx="1">
                  <c:v>3.9E-2</c:v>
                </c:pt>
                <c:pt idx="2">
                  <c:v>2.9000000000000001E-2</c:v>
                </c:pt>
                <c:pt idx="3">
                  <c:v>0.03</c:v>
                </c:pt>
                <c:pt idx="4">
                  <c:v>2.1999999999999999E-2</c:v>
                </c:pt>
                <c:pt idx="5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B2-4B64-B3D2-750B66CA8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360704"/>
        <c:axId val="396169599"/>
      </c:lineChart>
      <c:catAx>
        <c:axId val="15183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69599"/>
        <c:crosses val="autoZero"/>
        <c:auto val="1"/>
        <c:lblAlgn val="ctr"/>
        <c:lblOffset val="100"/>
        <c:noMultiLvlLbl val="0"/>
      </c:catAx>
      <c:valAx>
        <c:axId val="39616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Students who were Expelled in Illinois vs United</a:t>
            </a:r>
            <a:r>
              <a:rPr lang="en-US" baseline="0"/>
              <a:t>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'Scrap 1'!$T$123</c:f>
              <c:strCache>
                <c:ptCount val="1"/>
                <c:pt idx="0">
                  <c:v>Illinois Total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0754120432352298E-2"/>
                  <c:y val="4.7178797772229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66-4A19-9408-3E70FED17002}"/>
                </c:ext>
              </c:extLst>
            </c:dLbl>
            <c:dLbl>
              <c:idx val="5"/>
              <c:layout>
                <c:manualLayout>
                  <c:x val="-4.7646493756005248E-3"/>
                  <c:y val="-2.50731707317074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66-4A19-9408-3E70FED17002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'Scrap 1'!$B$124:$B$129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1'!$T$124:$T$129</c:f>
              <c:numCache>
                <c:formatCode>0.0%</c:formatCode>
                <c:ptCount val="6"/>
                <c:pt idx="0">
                  <c:v>0.12</c:v>
                </c:pt>
                <c:pt idx="1">
                  <c:v>0.185</c:v>
                </c:pt>
                <c:pt idx="2">
                  <c:v>0.13400000000000001</c:v>
                </c:pt>
                <c:pt idx="3">
                  <c:v>0.14099999999999999</c:v>
                </c:pt>
                <c:pt idx="4">
                  <c:v>0.1</c:v>
                </c:pt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66-4A19-9408-3E70FED17002}"/>
            </c:ext>
          </c:extLst>
        </c:ser>
        <c:ser>
          <c:idx val="1"/>
          <c:order val="1"/>
          <c:tx>
            <c:strRef>
              <c:f>'Scrap 1'!$U$123</c:f>
              <c:strCache>
                <c:ptCount val="1"/>
                <c:pt idx="0">
                  <c:v>National Total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dLbls>
            <c:dLbl>
              <c:idx val="1"/>
              <c:layout>
                <c:manualLayout>
                  <c:x val="-3.8832890845416655E-2"/>
                  <c:y val="-5.0382177837526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66-4A19-9408-3E70FED17002}"/>
                </c:ext>
              </c:extLst>
            </c:dLbl>
            <c:dLbl>
              <c:idx val="5"/>
              <c:layout>
                <c:manualLayout>
                  <c:x val="-4.7646493756005248E-3"/>
                  <c:y val="-4.1333333333333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66-4A19-9408-3E70FED17002}"/>
                </c:ext>
              </c:extLst>
            </c:dLbl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'Scrap 1'!$B$124:$B$129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1'!$U$124:$U$129</c:f>
              <c:numCache>
                <c:formatCode>0.0%</c:formatCode>
                <c:ptCount val="6"/>
                <c:pt idx="0">
                  <c:v>0.216</c:v>
                </c:pt>
                <c:pt idx="1">
                  <c:v>0.191</c:v>
                </c:pt>
                <c:pt idx="2">
                  <c:v>0.192</c:v>
                </c:pt>
                <c:pt idx="3">
                  <c:v>0.17399999999999999</c:v>
                </c:pt>
                <c:pt idx="4">
                  <c:v>0.17499999999999999</c:v>
                </c:pt>
                <c:pt idx="5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66-4A19-9408-3E70FED1700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8063343"/>
        <c:axId val="686518559"/>
      </c:lineChart>
      <c:catAx>
        <c:axId val="69806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518559"/>
        <c:crosses val="autoZero"/>
        <c:auto val="1"/>
        <c:lblAlgn val="ctr"/>
        <c:lblOffset val="100"/>
        <c:noMultiLvlLbl val="0"/>
      </c:catAx>
      <c:valAx>
        <c:axId val="68651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06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Students Expelled With and without Disabilitites who</a:t>
            </a:r>
            <a:r>
              <a:rPr lang="en-US" baseline="0"/>
              <a:t> served under IDEA in Illinois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'Scrap 1'!$C$144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dLbls>
            <c:dLbl>
              <c:idx val="1"/>
              <c:layout>
                <c:manualLayout>
                  <c:x val="-7.7160603371783515E-2"/>
                  <c:y val="-8.785046728971986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4D-44E9-A03B-B9FD69B26FAC}"/>
                </c:ext>
              </c:extLst>
            </c:dLbl>
            <c:dLbl>
              <c:idx val="4"/>
              <c:layout>
                <c:manualLayout>
                  <c:x val="-3.4569653948536068E-2"/>
                  <c:y val="-4.3497997329773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D-44E9-A03B-B9FD69B26FAC}"/>
                </c:ext>
              </c:extLst>
            </c:dLbl>
            <c:dLbl>
              <c:idx val="5"/>
              <c:layout>
                <c:manualLayout>
                  <c:x val="-2.5696539485359361E-2"/>
                  <c:y val="-3.2817089452603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4D-44E9-A03B-B9FD69B26F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'Scrap 1'!$A$145:$A$150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1'!$C$145:$C$150</c:f>
              <c:numCache>
                <c:formatCode>#,##0.0_)</c:formatCode>
                <c:ptCount val="6"/>
                <c:pt idx="1">
                  <c:v>3.18021201413428</c:v>
                </c:pt>
                <c:pt idx="2">
                  <c:v>1.3</c:v>
                </c:pt>
                <c:pt idx="3">
                  <c:v>3.2940999999999998</c:v>
                </c:pt>
                <c:pt idx="4" formatCode="General">
                  <c:v>0</c:v>
                </c:pt>
                <c:pt idx="5" formatCode="#,##0.00_);\(#,##0.00\)">
                  <c:v>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4D-44E9-A03B-B9FD69B26FAC}"/>
            </c:ext>
          </c:extLst>
        </c:ser>
        <c:ser>
          <c:idx val="1"/>
          <c:order val="1"/>
          <c:tx>
            <c:strRef>
              <c:f>'Scrap 1'!$E$144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196B2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96B24"/>
              </a:solidFill>
              <a:ln w="9525">
                <a:solidFill>
                  <a:srgbClr val="196B24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9245785270630056E-2"/>
                  <c:y val="-3.54873164218958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4D-44E9-A03B-B9FD69B26FAC}"/>
                </c:ext>
              </c:extLst>
            </c:dLbl>
            <c:dLbl>
              <c:idx val="3"/>
              <c:layout>
                <c:manualLayout>
                  <c:x val="-1.3274179236912221E-2"/>
                  <c:y val="-3.54873164218959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4D-44E9-A03B-B9FD69B26F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'Scrap 1'!$A$145:$A$150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1'!$E$145:$E$150</c:f>
              <c:numCache>
                <c:formatCode>#,##0.0_)</c:formatCode>
                <c:ptCount val="6"/>
                <c:pt idx="0">
                  <c:v>2.4</c:v>
                </c:pt>
                <c:pt idx="1">
                  <c:v>2.4413748795374199</c:v>
                </c:pt>
                <c:pt idx="2">
                  <c:v>1.8</c:v>
                </c:pt>
                <c:pt idx="3">
                  <c:v>3.8304</c:v>
                </c:pt>
                <c:pt idx="4" formatCode="General">
                  <c:v>0</c:v>
                </c:pt>
                <c:pt idx="5" formatCode="#,##0.00_);\(#,##0.00\)">
                  <c:v>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4D-44E9-A03B-B9FD69B26FAC}"/>
            </c:ext>
          </c:extLst>
        </c:ser>
        <c:ser>
          <c:idx val="2"/>
          <c:order val="2"/>
          <c:tx>
            <c:strRef>
              <c:f>'Scrap 1'!$G$144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51C"/>
              </a:solidFill>
              <a:ln w="9525">
                <a:solidFill>
                  <a:srgbClr val="FF751C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9893522626441878E-2"/>
                  <c:y val="-3.54873164218958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4D-44E9-A03B-B9FD69B26FAC}"/>
                </c:ext>
              </c:extLst>
            </c:dLbl>
            <c:dLbl>
              <c:idx val="4"/>
              <c:layout>
                <c:manualLayout>
                  <c:x val="-4.3442768411712511E-2"/>
                  <c:y val="-4.0827770360480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4D-44E9-A03B-B9FD69B26FAC}"/>
                </c:ext>
              </c:extLst>
            </c:dLbl>
            <c:dLbl>
              <c:idx val="5"/>
              <c:layout>
                <c:manualLayout>
                  <c:x val="-3.4569653948535936E-2"/>
                  <c:y val="-4.0827770360480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4D-44E9-A03B-B9FD69B26F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'Scrap 1'!$A$145:$A$150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1'!$G$145:$G$150</c:f>
              <c:numCache>
                <c:formatCode>#,##0.0_)</c:formatCode>
                <c:ptCount val="6"/>
                <c:pt idx="0">
                  <c:v>3.6</c:v>
                </c:pt>
                <c:pt idx="1">
                  <c:v>0.73883713459685196</c:v>
                </c:pt>
                <c:pt idx="2">
                  <c:v>0.3</c:v>
                </c:pt>
                <c:pt idx="3">
                  <c:v>2.1116000000000001</c:v>
                </c:pt>
                <c:pt idx="4" formatCode="General">
                  <c:v>0</c:v>
                </c:pt>
                <c:pt idx="5" formatCode="#,##0.00_);\(#,##0.00\)">
                  <c:v>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4D-44E9-A03B-B9FD69B26FAC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0480303"/>
        <c:axId val="1790816879"/>
      </c:lineChart>
      <c:catAx>
        <c:axId val="179048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816879"/>
        <c:crosses val="autoZero"/>
        <c:auto val="1"/>
        <c:lblAlgn val="ctr"/>
        <c:lblOffset val="100"/>
        <c:noMultiLvlLbl val="0"/>
      </c:catAx>
      <c:valAx>
        <c:axId val="179081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8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English Learners Expelled in Illinois by Disability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'Scrap 1'!$D$190</c:f>
              <c:strCache>
                <c:ptCount val="1"/>
                <c:pt idx="0">
                  <c:v>Percent2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7257781588490248E-2"/>
                  <c:y val="3.67326881496641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34-4A34-9A60-E95B15B90391}"/>
                </c:ext>
              </c:extLst>
            </c:dLbl>
            <c:dLbl>
              <c:idx val="2"/>
              <c:layout>
                <c:manualLayout>
                  <c:x val="-4.1263775594484256E-2"/>
                  <c:y val="-4.2562466035357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34-4A34-9A60-E95B15B90391}"/>
                </c:ext>
              </c:extLst>
            </c:dLbl>
            <c:dLbl>
              <c:idx val="5"/>
              <c:layout>
                <c:manualLayout>
                  <c:x val="-2.5279759610468272E-2"/>
                  <c:y val="2.498525790003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34-4A34-9A60-E95B15B90391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'Scrap 1'!$B$191:$B$196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1'!$D$191:$D$196</c:f>
              <c:numCache>
                <c:formatCode>0.0%</c:formatCode>
                <c:ptCount val="6"/>
                <c:pt idx="0">
                  <c:v>2.7E-2</c:v>
                </c:pt>
                <c:pt idx="1">
                  <c:v>2.8000000000000001E-2</c:v>
                </c:pt>
                <c:pt idx="2">
                  <c:v>1.7000000000000001E-2</c:v>
                </c:pt>
                <c:pt idx="3">
                  <c:v>3.7999999999999999E-2</c:v>
                </c:pt>
                <c:pt idx="4">
                  <c:v>3.6999999999999998E-2</c:v>
                </c:pt>
                <c:pt idx="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34-4A34-9A60-E95B15B90391}"/>
            </c:ext>
          </c:extLst>
        </c:ser>
        <c:ser>
          <c:idx val="1"/>
          <c:order val="1"/>
          <c:tx>
            <c:strRef>
              <c:f>'Scrap 1'!$F$190</c:f>
              <c:strCache>
                <c:ptCount val="1"/>
                <c:pt idx="0">
                  <c:v>Percent2</c:v>
                </c:pt>
              </c:strCache>
            </c:strRef>
          </c:tx>
          <c:spPr>
            <a:ln w="28575" cap="rnd">
              <a:solidFill>
                <a:srgbClr val="196B2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6.9426636355770209E-4"/>
                  <c:y val="1.3237827650398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34-4A34-9A60-E95B15B90391}"/>
                </c:ext>
              </c:extLst>
            </c:dLbl>
            <c:spPr>
              <a:solidFill>
                <a:srgbClr val="196B2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'Scrap 1'!$B$191:$B$196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1'!$F$191:$F$196</c:f>
              <c:numCache>
                <c:formatCode>0.0%</c:formatCode>
                <c:ptCount val="6"/>
                <c:pt idx="1">
                  <c:v>1.0016694490818E-2</c:v>
                </c:pt>
                <c:pt idx="2">
                  <c:v>3.6999999999999998E-2</c:v>
                </c:pt>
                <c:pt idx="3">
                  <c:v>5.3671999999999997E-2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34-4A34-9A60-E95B15B90391}"/>
            </c:ext>
          </c:extLst>
        </c:ser>
        <c:ser>
          <c:idx val="2"/>
          <c:order val="2"/>
          <c:tx>
            <c:strRef>
              <c:f>'Scrap 1'!$H$190</c:f>
              <c:strCache>
                <c:ptCount val="1"/>
                <c:pt idx="0">
                  <c:v>Percent2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327176760247634E-2"/>
                  <c:y val="3.08589730248476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34-4A34-9A60-E95B15B90391}"/>
                </c:ext>
              </c:extLst>
            </c:dLbl>
            <c:dLbl>
              <c:idx val="3"/>
              <c:layout>
                <c:manualLayout>
                  <c:x val="-1.3037356344443691E-3"/>
                  <c:y val="-1.3193890411275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34-4A34-9A60-E95B15B90391}"/>
                </c:ext>
              </c:extLst>
            </c:dLbl>
            <c:dLbl>
              <c:idx val="4"/>
              <c:layout>
                <c:manualLayout>
                  <c:x val="1.268227835156969E-2"/>
                  <c:y val="-2.78781782233169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34-4A34-9A60-E95B15B90391}"/>
                </c:ext>
              </c:extLst>
            </c:dLbl>
            <c:spPr>
              <a:solidFill>
                <a:srgbClr val="FF751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'Scrap 1'!$B$191:$B$196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1'!$H$191:$H$196</c:f>
              <c:numCache>
                <c:formatCode>0.0%</c:formatCode>
                <c:ptCount val="6"/>
                <c:pt idx="1">
                  <c:v>3.1802120141342802E-2</c:v>
                </c:pt>
                <c:pt idx="2">
                  <c:v>1.2999999999999999E-2</c:v>
                </c:pt>
                <c:pt idx="3">
                  <c:v>3.2940999999999998E-2</c:v>
                </c:pt>
                <c:pt idx="4">
                  <c:v>0</c:v>
                </c:pt>
                <c:pt idx="5">
                  <c:v>3.8199999999999998E-2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34-4A34-9A60-E95B15B903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08388367"/>
        <c:axId val="1861163855"/>
      </c:lineChart>
      <c:catAx>
        <c:axId val="19083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163855"/>
        <c:crosses val="autoZero"/>
        <c:auto val="1"/>
        <c:lblAlgn val="ctr"/>
        <c:lblOffset val="100"/>
        <c:noMultiLvlLbl val="0"/>
      </c:catAx>
      <c:valAx>
        <c:axId val="18611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38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Latinx Students among</a:t>
            </a:r>
            <a:r>
              <a:rPr lang="en-US" baseline="0"/>
              <a:t> Total </a:t>
            </a:r>
            <a:r>
              <a:rPr lang="en-US"/>
              <a:t>Expelled Students in Illinois vs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'Scrap 1'!$X$28</c:f>
              <c:strCache>
                <c:ptCount val="1"/>
                <c:pt idx="0">
                  <c:v>Illinois Black WD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51C"/>
              </a:solidFill>
              <a:ln w="9525">
                <a:solidFill>
                  <a:srgbClr val="FF751C"/>
                </a:solidFill>
              </a:ln>
              <a:effectLst/>
            </c:spPr>
          </c:marker>
          <c:dLbls>
            <c:spPr>
              <a:solidFill>
                <a:srgbClr val="FF751C"/>
              </a:solidFill>
              <a:ln>
                <a:solidFill>
                  <a:srgbClr val="AEAEAE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'Scrap 1'!$V$29:$V$34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1'!$X$29:$X$34</c:f>
              <c:numCache>
                <c:formatCode>0.0%</c:formatCode>
                <c:ptCount val="6"/>
                <c:pt idx="1">
                  <c:v>0.38300000000000001</c:v>
                </c:pt>
                <c:pt idx="2">
                  <c:v>0.41099999999999998</c:v>
                </c:pt>
                <c:pt idx="3">
                  <c:v>0.45900000000000002</c:v>
                </c:pt>
                <c:pt idx="5">
                  <c:v>0.1235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A-4590-8272-A3E8F9CB1576}"/>
            </c:ext>
          </c:extLst>
        </c:ser>
        <c:ser>
          <c:idx val="1"/>
          <c:order val="1"/>
          <c:tx>
            <c:strRef>
              <c:f>'Scrap 1'!$Z$28</c:f>
              <c:strCache>
                <c:ptCount val="1"/>
                <c:pt idx="0">
                  <c:v>National Black WD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4.3888034218984726E-2"/>
                  <c:y val="3.46125899515028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4A-4590-8272-A3E8F9CB1576}"/>
                </c:ext>
              </c:extLst>
            </c:dLbl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'Scrap 1'!$V$29:$V$34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1'!$Z$29:$Z$34</c:f>
              <c:numCache>
                <c:formatCode>0.0%</c:formatCode>
                <c:ptCount val="6"/>
                <c:pt idx="0">
                  <c:v>0.33600000000000002</c:v>
                </c:pt>
                <c:pt idx="1">
                  <c:v>0.35</c:v>
                </c:pt>
                <c:pt idx="2">
                  <c:v>0.28399999999999997</c:v>
                </c:pt>
                <c:pt idx="3">
                  <c:v>0.34</c:v>
                </c:pt>
                <c:pt idx="5">
                  <c:v>0.25900000000000001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4A-4590-8272-A3E8F9CB1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98992"/>
        <c:axId val="1948752223"/>
      </c:lineChart>
      <c:catAx>
        <c:axId val="139519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752223"/>
        <c:crosses val="autoZero"/>
        <c:auto val="1"/>
        <c:lblAlgn val="ctr"/>
        <c:lblOffset val="100"/>
        <c:noMultiLvlLbl val="0"/>
      </c:catAx>
      <c:valAx>
        <c:axId val="194875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9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'Scrap 1'!$AB$5</c:f>
              <c:strCache>
                <c:ptCount val="1"/>
                <c:pt idx="0">
                  <c:v>% Expelled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'Scrap 1'!$AA$6:$AA$12</c:f>
              <c:strCache>
                <c:ptCount val="7"/>
                <c:pt idx="0">
                  <c:v>American Indian</c:v>
                </c:pt>
                <c:pt idx="1">
                  <c:v>Asian</c:v>
                </c:pt>
                <c:pt idx="2">
                  <c:v>Latinx</c:v>
                </c:pt>
                <c:pt idx="3">
                  <c:v>Black</c:v>
                </c:pt>
                <c:pt idx="4">
                  <c:v>White</c:v>
                </c:pt>
                <c:pt idx="5">
                  <c:v>Native Hawaiian</c:v>
                </c:pt>
                <c:pt idx="6">
                  <c:v>Two or More Races</c:v>
                </c:pt>
              </c:strCache>
            </c:strRef>
          </c:cat>
          <c:val>
            <c:numRef>
              <c:f>'Scrap 1'!$AB$6:$AB$12</c:f>
              <c:numCache>
                <c:formatCode>General</c:formatCode>
                <c:ptCount val="7"/>
                <c:pt idx="0">
                  <c:v>0.1</c:v>
                </c:pt>
                <c:pt idx="1">
                  <c:v>0.8</c:v>
                </c:pt>
                <c:pt idx="2">
                  <c:v>26.2</c:v>
                </c:pt>
                <c:pt idx="3">
                  <c:v>42.4</c:v>
                </c:pt>
                <c:pt idx="4">
                  <c:v>34.4</c:v>
                </c:pt>
                <c:pt idx="5">
                  <c:v>0.1</c:v>
                </c:pt>
                <c:pt idx="6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3-4402-861E-4AC7E211D412}"/>
            </c:ext>
          </c:extLst>
        </c:ser>
        <c:ser>
          <c:idx val="1"/>
          <c:order val="1"/>
          <c:tx>
            <c:strRef>
              <c:f>'Scrap 1'!$AC$5</c:f>
              <c:strCache>
                <c:ptCount val="1"/>
                <c:pt idx="0">
                  <c:v>% of K-12 Enrollment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'Scrap 1'!$AA$6:$AA$12</c:f>
              <c:strCache>
                <c:ptCount val="7"/>
                <c:pt idx="0">
                  <c:v>American Indian</c:v>
                </c:pt>
                <c:pt idx="1">
                  <c:v>Asian</c:v>
                </c:pt>
                <c:pt idx="2">
                  <c:v>Latinx</c:v>
                </c:pt>
                <c:pt idx="3">
                  <c:v>Black</c:v>
                </c:pt>
                <c:pt idx="4">
                  <c:v>White</c:v>
                </c:pt>
                <c:pt idx="5">
                  <c:v>Native Hawaiian</c:v>
                </c:pt>
                <c:pt idx="6">
                  <c:v>Two or More Races</c:v>
                </c:pt>
              </c:strCache>
            </c:strRef>
          </c:cat>
          <c:val>
            <c:numRef>
              <c:f>'Scrap 1'!$AC$6:$AC$12</c:f>
              <c:numCache>
                <c:formatCode>General</c:formatCode>
                <c:ptCount val="7"/>
                <c:pt idx="0">
                  <c:v>0.1</c:v>
                </c:pt>
                <c:pt idx="1">
                  <c:v>5.0999999999999996</c:v>
                </c:pt>
                <c:pt idx="2">
                  <c:v>17.5</c:v>
                </c:pt>
                <c:pt idx="3">
                  <c:v>16.8</c:v>
                </c:pt>
                <c:pt idx="4">
                  <c:v>48</c:v>
                </c:pt>
                <c:pt idx="5">
                  <c:v>0.1</c:v>
                </c:pt>
                <c:pt idx="6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63-4402-861E-4AC7E211D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5179759"/>
        <c:axId val="1715236719"/>
      </c:barChart>
      <c:catAx>
        <c:axId val="18151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36719"/>
        <c:crosses val="autoZero"/>
        <c:auto val="1"/>
        <c:lblAlgn val="ctr"/>
        <c:lblOffset val="100"/>
        <c:noMultiLvlLbl val="0"/>
      </c:catAx>
      <c:valAx>
        <c:axId val="171523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'Scrap 1'!$AF$5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'Scrap 1'!$AE$6:$AE$7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1'!$AF$6:$AF$7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8-48DD-8A0A-5C5FA2A517D3}"/>
            </c:ext>
          </c:extLst>
        </c:ser>
        <c:ser>
          <c:idx val="1"/>
          <c:order val="1"/>
          <c:tx>
            <c:strRef>
              <c:f>'Scrap 1'!$AG$5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'Scrap 1'!$AE$6:$AE$7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1'!$AG$6:$AG$7</c:f>
              <c:numCache>
                <c:formatCode>General</c:formatCode>
                <c:ptCount val="2"/>
                <c:pt idx="0">
                  <c:v>0.8</c:v>
                </c:pt>
                <c:pt idx="1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F8-48DD-8A0A-5C5FA2A517D3}"/>
            </c:ext>
          </c:extLst>
        </c:ser>
        <c:ser>
          <c:idx val="2"/>
          <c:order val="2"/>
          <c:tx>
            <c:strRef>
              <c:f>'Scrap 1'!$AH$5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'Scrap 1'!$AE$6:$AE$7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1'!$AH$6:$AH$7</c:f>
              <c:numCache>
                <c:formatCode>General</c:formatCode>
                <c:ptCount val="2"/>
                <c:pt idx="0">
                  <c:v>26.2</c:v>
                </c:pt>
                <c:pt idx="1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F8-48DD-8A0A-5C5FA2A517D3}"/>
            </c:ext>
          </c:extLst>
        </c:ser>
        <c:ser>
          <c:idx val="3"/>
          <c:order val="3"/>
          <c:tx>
            <c:strRef>
              <c:f>'Scrap 1'!$AI$5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'Scrap 1'!$AE$6:$AE$7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1'!$AI$6:$AI$7</c:f>
              <c:numCache>
                <c:formatCode>General</c:formatCode>
                <c:ptCount val="2"/>
                <c:pt idx="0">
                  <c:v>42.4</c:v>
                </c:pt>
                <c:pt idx="1">
                  <c:v>16.8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F8-48DD-8A0A-5C5FA2A517D3}"/>
            </c:ext>
          </c:extLst>
        </c:ser>
        <c:ser>
          <c:idx val="4"/>
          <c:order val="4"/>
          <c:tx>
            <c:strRef>
              <c:f>'Scrap 1'!$AJ$5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'Scrap 1'!$AE$6:$AE$7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1'!$AJ$6:$AJ$7</c:f>
              <c:numCache>
                <c:formatCode>General</c:formatCode>
                <c:ptCount val="2"/>
                <c:pt idx="0">
                  <c:v>34.4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F8-48DD-8A0A-5C5FA2A517D3}"/>
            </c:ext>
          </c:extLst>
        </c:ser>
        <c:ser>
          <c:idx val="5"/>
          <c:order val="5"/>
          <c:tx>
            <c:strRef>
              <c:f>'Scrap 1'!$AK$5</c:f>
              <c:strCache>
                <c:ptCount val="1"/>
                <c:pt idx="0">
                  <c:v>NH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'Scrap 1'!$AE$6:$AE$7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1'!$AK$6:$AK$7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F8-48DD-8A0A-5C5FA2A517D3}"/>
            </c:ext>
          </c:extLst>
        </c:ser>
        <c:ser>
          <c:idx val="6"/>
          <c:order val="6"/>
          <c:tx>
            <c:strRef>
              <c:f>'Scrap 1'!$AL$5</c:f>
              <c:strCache>
                <c:ptCount val="1"/>
                <c:pt idx="0">
                  <c:v>Two or More Racess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'Scrap 1'!$AE$6:$AE$7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1'!$AL$6:$AL$7</c:f>
              <c:numCache>
                <c:formatCode>General</c:formatCode>
                <c:ptCount val="2"/>
                <c:pt idx="0">
                  <c:v>4.9000000000000004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F8-48DD-8A0A-5C5FA2A51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2040415"/>
        <c:axId val="1982031679"/>
      </c:barChart>
      <c:catAx>
        <c:axId val="198204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31679"/>
        <c:crosses val="autoZero"/>
        <c:auto val="1"/>
        <c:lblAlgn val="ctr"/>
        <c:lblOffset val="100"/>
        <c:noMultiLvlLbl val="0"/>
      </c:catAx>
      <c:valAx>
        <c:axId val="198203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4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Percentage of Students With Disabilities who served Expulsion only under section 504 in Illinois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'Scrap 1'!$B$226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'Scrap 1'!$A$227:$A$232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1'!$B$227:$B$232</c:f>
              <c:numCache>
                <c:formatCode>0.0%</c:formatCode>
                <c:ptCount val="6"/>
                <c:pt idx="0">
                  <c:v>2.75E-2</c:v>
                </c:pt>
                <c:pt idx="1">
                  <c:v>2.8286637931034482E-2</c:v>
                </c:pt>
                <c:pt idx="2">
                  <c:v>1.7151379567486951E-2</c:v>
                </c:pt>
                <c:pt idx="3">
                  <c:v>3.8122132015531239E-2</c:v>
                </c:pt>
                <c:pt idx="4">
                  <c:v>3.7332005973120953E-2</c:v>
                </c:pt>
                <c:pt idx="5">
                  <c:v>2.9850746268656716E-2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E-4E4B-A783-34D317548FF1}"/>
            </c:ext>
          </c:extLst>
        </c:ser>
        <c:ser>
          <c:idx val="1"/>
          <c:order val="1"/>
          <c:tx>
            <c:strRef>
              <c:f>'Scrap 1'!$C$226</c:f>
              <c:strCache>
                <c:ptCount val="1"/>
                <c:pt idx="0">
                  <c:v>Male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'Scrap 1'!$A$227:$A$232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1'!$C$227:$C$232</c:f>
              <c:numCache>
                <c:formatCode>0.0%</c:formatCode>
                <c:ptCount val="6"/>
                <c:pt idx="0">
                  <c:v>1.4583333333333334E-2</c:v>
                </c:pt>
                <c:pt idx="1">
                  <c:v>2.2090517241379309E-2</c:v>
                </c:pt>
                <c:pt idx="2">
                  <c:v>1.6405667412378821E-2</c:v>
                </c:pt>
                <c:pt idx="3">
                  <c:v>3.1768443346276029E-2</c:v>
                </c:pt>
                <c:pt idx="4">
                  <c:v>2.8372324539571926E-2</c:v>
                </c:pt>
                <c:pt idx="5">
                  <c:v>1.7412935323383085E-2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E-4E4B-A783-34D317548FF1}"/>
            </c:ext>
          </c:extLst>
        </c:ser>
        <c:ser>
          <c:idx val="2"/>
          <c:order val="2"/>
          <c:tx>
            <c:strRef>
              <c:f>'Scrap 1'!$D$226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'Scrap 1'!$A$227:$A$232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1'!$D$227:$D$232</c:f>
              <c:numCache>
                <c:formatCode>0.0%</c:formatCode>
                <c:ptCount val="6"/>
                <c:pt idx="0">
                  <c:v>8.7500000000000008E-3</c:v>
                </c:pt>
                <c:pt idx="1">
                  <c:v>6.1961206896551727E-3</c:v>
                </c:pt>
                <c:pt idx="2">
                  <c:v>1.1185682326621924E-3</c:v>
                </c:pt>
                <c:pt idx="3">
                  <c:v>6.3536886692552065E-3</c:v>
                </c:pt>
                <c:pt idx="4">
                  <c:v>8.9596814335490289E-3</c:v>
                </c:pt>
                <c:pt idx="5">
                  <c:v>1.2437810945273632E-2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8E-4E4B-A783-34D317548F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49263"/>
        <c:axId val="840722479"/>
      </c:barChart>
      <c:catAx>
        <c:axId val="41824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722479"/>
        <c:crosses val="autoZero"/>
        <c:auto val="1"/>
        <c:lblAlgn val="ctr"/>
        <c:lblOffset val="100"/>
        <c:noMultiLvlLbl val="0"/>
      </c:catAx>
      <c:valAx>
        <c:axId val="8407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4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'Scrap 2'!$G$11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196B24"/>
            </a:solidFill>
            <a:ln>
              <a:solidFill>
                <a:srgbClr val="196B24"/>
              </a:solidFill>
            </a:ln>
            <a:effectLst/>
          </c:spPr>
          <c:invertIfNegative val="0"/>
          <c:cat>
            <c:strRef>
              <c:f>'Scrap 2'!$F$12:$F$13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2'!$G$12:$G$13</c:f>
              <c:numCache>
                <c:formatCode>0.0%</c:formatCode>
                <c:ptCount val="2"/>
                <c:pt idx="0">
                  <c:v>3.0000000000000001E-3</c:v>
                </c:pt>
                <c:pt idx="1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8-774F-A2D9-A91AD4FAD9A8}"/>
            </c:ext>
          </c:extLst>
        </c:ser>
        <c:ser>
          <c:idx val="1"/>
          <c:order val="1"/>
          <c:tx>
            <c:strRef>
              <c:f>'Scrap 2'!$H$11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5E75FF"/>
            </a:solidFill>
            <a:ln>
              <a:solidFill>
                <a:srgbClr val="5E75FF"/>
              </a:solidFill>
            </a:ln>
            <a:effectLst/>
          </c:spPr>
          <c:invertIfNegative val="0"/>
          <c:cat>
            <c:strRef>
              <c:f>'Scrap 2'!$F$12:$F$13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2'!$H$12:$H$13</c:f>
              <c:numCache>
                <c:formatCode>0.0%</c:formatCode>
                <c:ptCount val="2"/>
                <c:pt idx="0">
                  <c:v>3.0000000000000001E-3</c:v>
                </c:pt>
                <c:pt idx="1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8-774F-A2D9-A91AD4FAD9A8}"/>
            </c:ext>
          </c:extLst>
        </c:ser>
        <c:ser>
          <c:idx val="2"/>
          <c:order val="2"/>
          <c:tx>
            <c:strRef>
              <c:f>'Scrap 2'!$I$11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rgbClr val="AEAEAE"/>
            </a:solidFill>
            <a:ln>
              <a:solidFill>
                <a:srgbClr val="AEAEAE"/>
              </a:solidFill>
            </a:ln>
            <a:effectLst/>
          </c:spPr>
          <c:invertIfNegative val="0"/>
          <c:cat>
            <c:strRef>
              <c:f>'Scrap 2'!$F$12:$F$13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2'!$I$12:$I$13</c:f>
              <c:numCache>
                <c:formatCode>0.0%</c:formatCode>
                <c:ptCount val="2"/>
                <c:pt idx="0">
                  <c:v>0.23599999999999999</c:v>
                </c:pt>
                <c:pt idx="1">
                  <c:v>0.21099999999999999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8-774F-A2D9-A91AD4FAD9A8}"/>
            </c:ext>
          </c:extLst>
        </c:ser>
        <c:ser>
          <c:idx val="3"/>
          <c:order val="3"/>
          <c:tx>
            <c:strRef>
              <c:f>'Scrap 2'!$J$11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FF751C"/>
            </a:solidFill>
            <a:ln>
              <a:solidFill>
                <a:srgbClr val="FF751C"/>
              </a:solidFill>
            </a:ln>
            <a:effectLst/>
          </c:spPr>
          <c:invertIfNegative val="0"/>
          <c:cat>
            <c:strRef>
              <c:f>'Scrap 2'!$F$12:$F$13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2'!$J$12:$J$13</c:f>
              <c:numCache>
                <c:formatCode>0.0%</c:formatCode>
                <c:ptCount val="2"/>
                <c:pt idx="0">
                  <c:v>0.26600000000000001</c:v>
                </c:pt>
                <c:pt idx="1">
                  <c:v>0.188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8-774F-A2D9-A91AD4FAD9A8}"/>
            </c:ext>
          </c:extLst>
        </c:ser>
        <c:ser>
          <c:idx val="4"/>
          <c:order val="4"/>
          <c:tx>
            <c:strRef>
              <c:f>'Scrap 2'!$K$11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rgbClr val="1A3D66"/>
            </a:solidFill>
            <a:ln>
              <a:solidFill>
                <a:srgbClr val="1A3D66"/>
              </a:solidFill>
            </a:ln>
            <a:effectLst/>
          </c:spPr>
          <c:invertIfNegative val="0"/>
          <c:cat>
            <c:strRef>
              <c:f>'Scrap 2'!$F$12:$F$13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2'!$K$12:$K$13</c:f>
              <c:numCache>
                <c:formatCode>0.0%</c:formatCode>
                <c:ptCount val="2"/>
                <c:pt idx="0">
                  <c:v>0.48</c:v>
                </c:pt>
                <c:pt idx="1">
                  <c:v>0.52800000000000002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C8-774F-A2D9-A91AD4FAD9A8}"/>
            </c:ext>
          </c:extLst>
        </c:ser>
        <c:ser>
          <c:idx val="5"/>
          <c:order val="5"/>
          <c:tx>
            <c:strRef>
              <c:f>'Scrap 2'!$L$11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'Scrap 2'!$F$12:$F$13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2'!$L$12:$L$13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C8C8-774F-A2D9-A91AD4FAD9A8}"/>
            </c:ext>
          </c:extLst>
        </c:ser>
        <c:ser>
          <c:idx val="6"/>
          <c:order val="6"/>
          <c:tx>
            <c:strRef>
              <c:f>'Scrap 2'!$M$11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66B871"/>
            </a:solidFill>
            <a:ln>
              <a:solidFill>
                <a:srgbClr val="66B871"/>
              </a:solidFill>
            </a:ln>
            <a:effectLst/>
          </c:spPr>
          <c:invertIfNegative val="0"/>
          <c:cat>
            <c:strRef>
              <c:f>'Scrap 2'!$F$12:$F$13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2'!$M$12:$M$13</c:f>
              <c:numCache>
                <c:formatCode>0.0%</c:formatCode>
                <c:ptCount val="2"/>
                <c:pt idx="1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C8-774F-A2D9-A91AD4FAD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6995567"/>
        <c:axId val="817833711"/>
      </c:barChart>
      <c:catAx>
        <c:axId val="81699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833711"/>
        <c:crosses val="autoZero"/>
        <c:auto val="1"/>
        <c:lblAlgn val="ctr"/>
        <c:lblOffset val="100"/>
        <c:noMultiLvlLbl val="0"/>
      </c:catAx>
      <c:valAx>
        <c:axId val="81783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9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Students Expelled vs Percentage of K-12 Enrollement</a:t>
            </a:r>
            <a:r>
              <a:rPr lang="en-US" baseline="0"/>
              <a:t> in Illinois by Race/Ethnicity in 2012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'Scrap 2'!$G$38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196B24"/>
            </a:solidFill>
            <a:ln>
              <a:solidFill>
                <a:srgbClr val="196B24"/>
              </a:solidFill>
            </a:ln>
            <a:effectLst/>
          </c:spPr>
          <c:invertIfNegative val="0"/>
          <c:cat>
            <c:strRef>
              <c:f>'Scrap 2'!$F$39:$F$40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2'!$G$39:$G$40</c:f>
              <c:numCache>
                <c:formatCode>0.0%</c:formatCode>
                <c:ptCount val="2"/>
                <c:pt idx="0">
                  <c:v>0</c:v>
                </c:pt>
                <c:pt idx="1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C-A741-A0A4-AB89299BD291}"/>
            </c:ext>
          </c:extLst>
        </c:ser>
        <c:ser>
          <c:idx val="1"/>
          <c:order val="1"/>
          <c:tx>
            <c:strRef>
              <c:f>'Scrap 2'!$H$38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5E75FF"/>
            </a:solidFill>
            <a:ln>
              <a:solidFill>
                <a:srgbClr val="5E75FF"/>
              </a:solidFill>
            </a:ln>
            <a:effectLst/>
          </c:spPr>
          <c:invertIfNegative val="0"/>
          <c:cat>
            <c:strRef>
              <c:f>'Scrap 2'!$F$39:$F$40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2'!$H$39:$H$40</c:f>
              <c:numCache>
                <c:formatCode>0.0%</c:formatCode>
                <c:ptCount val="2"/>
                <c:pt idx="0">
                  <c:v>5.0000000000000001E-3</c:v>
                </c:pt>
                <c:pt idx="1">
                  <c:v>5.3999999999999999E-2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C-A741-A0A4-AB89299BD291}"/>
            </c:ext>
          </c:extLst>
        </c:ser>
        <c:ser>
          <c:idx val="2"/>
          <c:order val="2"/>
          <c:tx>
            <c:strRef>
              <c:f>'Scrap 2'!$I$38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rgbClr val="AEAEAE"/>
            </a:solidFill>
            <a:ln>
              <a:solidFill>
                <a:srgbClr val="AEAEAE"/>
              </a:solidFill>
            </a:ln>
            <a:effectLst/>
          </c:spPr>
          <c:invertIfNegative val="0"/>
          <c:cat>
            <c:strRef>
              <c:f>'Scrap 2'!$F$39:$F$40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2'!$I$39:$I$40</c:f>
              <c:numCache>
                <c:formatCode>0.0%</c:formatCode>
                <c:ptCount val="2"/>
                <c:pt idx="0">
                  <c:v>8.2000000000000003E-2</c:v>
                </c:pt>
                <c:pt idx="1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8C-A741-A0A4-AB89299BD291}"/>
            </c:ext>
          </c:extLst>
        </c:ser>
        <c:ser>
          <c:idx val="3"/>
          <c:order val="3"/>
          <c:tx>
            <c:strRef>
              <c:f>'Scrap 2'!$J$38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rgbClr val="FF751C"/>
            </a:solidFill>
            <a:ln>
              <a:solidFill>
                <a:srgbClr val="FF751C"/>
              </a:solidFill>
            </a:ln>
            <a:effectLst/>
          </c:spPr>
          <c:invertIfNegative val="0"/>
          <c:cat>
            <c:strRef>
              <c:f>'Scrap 2'!$F$39:$F$40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2'!$J$39:$J$40</c:f>
              <c:numCache>
                <c:formatCode>0.0%</c:formatCode>
                <c:ptCount val="2"/>
                <c:pt idx="0">
                  <c:v>0.14399999999999999</c:v>
                </c:pt>
                <c:pt idx="1">
                  <c:v>0.16600000000000001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8C-A741-A0A4-AB89299BD291}"/>
            </c:ext>
          </c:extLst>
        </c:ser>
        <c:ser>
          <c:idx val="4"/>
          <c:order val="4"/>
          <c:tx>
            <c:strRef>
              <c:f>'Scrap 2'!$K$38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rgbClr val="1A3D66"/>
            </a:solidFill>
            <a:ln>
              <a:solidFill>
                <a:srgbClr val="1A3D66"/>
              </a:solidFill>
            </a:ln>
            <a:effectLst/>
          </c:spPr>
          <c:invertIfNegative val="0"/>
          <c:cat>
            <c:strRef>
              <c:f>'Scrap 2'!$F$39:$F$40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2'!$K$39:$K$40</c:f>
              <c:numCache>
                <c:formatCode>0.0%</c:formatCode>
                <c:ptCount val="2"/>
                <c:pt idx="0">
                  <c:v>0.68200000000000005</c:v>
                </c:pt>
                <c:pt idx="1">
                  <c:v>0.46700000000000003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8C-A741-A0A4-AB89299BD291}"/>
            </c:ext>
          </c:extLst>
        </c:ser>
        <c:ser>
          <c:idx val="5"/>
          <c:order val="5"/>
          <c:tx>
            <c:strRef>
              <c:f>'Scrap 2'!$L$38</c:f>
              <c:strCache>
                <c:ptCount val="1"/>
                <c:pt idx="0">
                  <c:v>Native Hawaiian</c:v>
                </c:pt>
              </c:strCache>
            </c:strRef>
          </c:tx>
          <c:spPr>
            <a:solidFill>
              <a:srgbClr val="FFC269"/>
            </a:solidFill>
            <a:ln>
              <a:solidFill>
                <a:srgbClr val="FFC269"/>
              </a:solidFill>
            </a:ln>
            <a:effectLst/>
          </c:spPr>
          <c:invertIfNegative val="0"/>
          <c:cat>
            <c:strRef>
              <c:f>'Scrap 2'!$F$39:$F$40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2'!$L$39:$L$40</c:f>
              <c:numCache>
                <c:formatCode>0.0%</c:formatCode>
                <c:ptCount val="2"/>
                <c:pt idx="0">
                  <c:v>2E-3</c:v>
                </c:pt>
                <c:pt idx="1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8C-A741-A0A4-AB89299BD291}"/>
            </c:ext>
          </c:extLst>
        </c:ser>
        <c:ser>
          <c:idx val="6"/>
          <c:order val="6"/>
          <c:tx>
            <c:strRef>
              <c:f>'Scrap 2'!$M$38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66B871"/>
            </a:solidFill>
            <a:ln>
              <a:solidFill>
                <a:srgbClr val="66B871"/>
              </a:solidFill>
            </a:ln>
            <a:effectLst/>
          </c:spPr>
          <c:invertIfNegative val="0"/>
          <c:cat>
            <c:strRef>
              <c:f>'Scrap 2'!$F$39:$F$40</c:f>
              <c:strCache>
                <c:ptCount val="2"/>
                <c:pt idx="0">
                  <c:v>% Expelled</c:v>
                </c:pt>
                <c:pt idx="1">
                  <c:v>% of K-12 Enrollment</c:v>
                </c:pt>
              </c:strCache>
            </c:strRef>
          </c:cat>
          <c:val>
            <c:numRef>
              <c:f>'Scrap 2'!$M$39:$M$40</c:f>
              <c:numCache>
                <c:formatCode>0.0%</c:formatCode>
                <c:ptCount val="2"/>
                <c:pt idx="0">
                  <c:v>6.7000000000000004E-2</c:v>
                </c:pt>
                <c:pt idx="1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8C-A741-A0A4-AB89299BD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6982575"/>
        <c:axId val="808908463"/>
      </c:barChart>
      <c:catAx>
        <c:axId val="81698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908463"/>
        <c:crosses val="autoZero"/>
        <c:auto val="1"/>
        <c:lblAlgn val="ctr"/>
        <c:lblOffset val="100"/>
        <c:noMultiLvlLbl val="0"/>
      </c:catAx>
      <c:valAx>
        <c:axId val="8089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8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English Learners Expelled vs</a:t>
            </a:r>
            <a:r>
              <a:rPr lang="en-US" baseline="0"/>
              <a:t> Percentage of English Learners in 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'Scrap 2'!$C$85</c:f>
              <c:strCache>
                <c:ptCount val="1"/>
                <c:pt idx="0">
                  <c:v>% of EL Expelled</c:v>
                </c:pt>
              </c:strCache>
            </c:strRef>
          </c:tx>
          <c:spPr>
            <a:solidFill>
              <a:srgbClr val="196B24"/>
            </a:solidFill>
            <a:ln>
              <a:solidFill>
                <a:srgbClr val="196B24"/>
              </a:solidFill>
            </a:ln>
            <a:effectLst/>
          </c:spPr>
          <c:invertIfNegative val="0"/>
          <c:cat>
            <c:strRef>
              <c:f>'Scrap 2'!$A$86:$A$91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2'!$C$86:$C$91</c:f>
              <c:numCache>
                <c:formatCode>0.0%</c:formatCode>
                <c:ptCount val="6"/>
                <c:pt idx="0">
                  <c:v>2.8000000000000001E-2</c:v>
                </c:pt>
                <c:pt idx="1">
                  <c:v>2.8000000000000001E-2</c:v>
                </c:pt>
                <c:pt idx="2">
                  <c:v>1.7000000000000001E-2</c:v>
                </c:pt>
                <c:pt idx="3">
                  <c:v>3.7999999999999999E-2</c:v>
                </c:pt>
                <c:pt idx="4">
                  <c:v>3.6999999999999998E-2</c:v>
                </c:pt>
                <c:pt idx="5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9-5043-A5BA-89CFC0A7FDDE}"/>
            </c:ext>
          </c:extLst>
        </c:ser>
        <c:ser>
          <c:idx val="1"/>
          <c:order val="1"/>
          <c:tx>
            <c:strRef>
              <c:f>'Scrap 2'!$D$85</c:f>
              <c:strCache>
                <c:ptCount val="1"/>
                <c:pt idx="0">
                  <c:v>% of EL in K-12 Enrollment</c:v>
                </c:pt>
              </c:strCache>
            </c:strRef>
          </c:tx>
          <c:spPr>
            <a:solidFill>
              <a:srgbClr val="66B871"/>
            </a:solidFill>
            <a:ln>
              <a:solidFill>
                <a:srgbClr val="66B871"/>
              </a:solidFill>
            </a:ln>
            <a:effectLst/>
          </c:spPr>
          <c:invertIfNegative val="0"/>
          <c:cat>
            <c:strRef>
              <c:f>'Scrap 2'!$A$86:$A$91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2'!$D$86:$D$91</c:f>
              <c:numCache>
                <c:formatCode>0.0%</c:formatCode>
                <c:ptCount val="6"/>
                <c:pt idx="0">
                  <c:v>7.5999999999999998E-2</c:v>
                </c:pt>
                <c:pt idx="1">
                  <c:v>9.4E-2</c:v>
                </c:pt>
                <c:pt idx="2">
                  <c:v>9.5000000000000001E-2</c:v>
                </c:pt>
                <c:pt idx="3">
                  <c:v>0.105</c:v>
                </c:pt>
                <c:pt idx="4">
                  <c:v>0.11700000000000001</c:v>
                </c:pt>
                <c:pt idx="5">
                  <c:v>0.129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9-5043-A5BA-89CFC0A7F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0753807"/>
        <c:axId val="1020348559"/>
      </c:barChart>
      <c:catAx>
        <c:axId val="122075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48559"/>
        <c:crosses val="autoZero"/>
        <c:auto val="1"/>
        <c:lblAlgn val="ctr"/>
        <c:lblOffset val="100"/>
        <c:noMultiLvlLbl val="0"/>
      </c:catAx>
      <c:valAx>
        <c:axId val="10203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75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Students with Disabilities Expelled vs Percentage of Students with Disabilities in IL </a:t>
            </a:r>
            <a:r>
              <a:rPr lang="en-US"/>
              <a:t>in 2020-21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'Scrap 2'!$A$106</c:f>
              <c:strCache>
                <c:ptCount val="1"/>
                <c:pt idx="0">
                  <c:v>2020-21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B4-3F4D-AF08-4CCDED9E9443}"/>
              </c:ext>
            </c:extLst>
          </c:dPt>
          <c:cat>
            <c:strRef>
              <c:f>'Scrap 2'!$B$105:$C$105</c:f>
              <c:strCache>
                <c:ptCount val="2"/>
                <c:pt idx="0">
                  <c:v>% of SWD Expelled</c:v>
                </c:pt>
                <c:pt idx="1">
                  <c:v>% of SWD in K-12 Enrollment</c:v>
                </c:pt>
              </c:strCache>
            </c:strRef>
          </c:cat>
          <c:val>
            <c:numRef>
              <c:f>'Scrap 2'!$B$106:$C$106</c:f>
              <c:numCache>
                <c:formatCode>0.0%</c:formatCode>
                <c:ptCount val="2"/>
                <c:pt idx="0">
                  <c:v>0.21890547263681592</c:v>
                </c:pt>
                <c:pt idx="1">
                  <c:v>0.183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4-3F4D-AF08-4CCDED9E9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46832"/>
        <c:axId val="167042160"/>
      </c:barChart>
      <c:catAx>
        <c:axId val="16054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42160"/>
        <c:crosses val="autoZero"/>
        <c:auto val="1"/>
        <c:lblAlgn val="ctr"/>
        <c:lblOffset val="100"/>
        <c:noMultiLvlLbl val="0"/>
      </c:catAx>
      <c:valAx>
        <c:axId val="16704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4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Race/ Ethnicity of students who were Expelled in Illinois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'Scrap 2'!$U$13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'Scrap 2'!$T$14:$T$19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2'!$U$14:$U$19</c:f>
              <c:numCache>
                <c:formatCode>#,##0.0_)</c:formatCode>
                <c:ptCount val="6"/>
                <c:pt idx="0">
                  <c:v>0.3</c:v>
                </c:pt>
                <c:pt idx="1">
                  <c:v>0.46132971506105802</c:v>
                </c:pt>
                <c:pt idx="2">
                  <c:v>0.4</c:v>
                </c:pt>
                <c:pt idx="3">
                  <c:v>0.21870000000000001</c:v>
                </c:pt>
                <c:pt idx="4">
                  <c:v>0.15340000000000001</c:v>
                </c:pt>
                <c:pt idx="5" formatCode="#,##0.00_);\(#,##0.0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F-F34C-8478-6447A4FFDAAA}"/>
            </c:ext>
          </c:extLst>
        </c:ser>
        <c:ser>
          <c:idx val="1"/>
          <c:order val="1"/>
          <c:tx>
            <c:strRef>
              <c:f>'Scrap 2'!$V$13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'Scrap 2'!$T$14:$T$19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2'!$V$14:$V$19</c:f>
              <c:numCache>
                <c:formatCode>#,##0.0_)</c:formatCode>
                <c:ptCount val="6"/>
                <c:pt idx="0">
                  <c:v>0.3</c:v>
                </c:pt>
                <c:pt idx="1">
                  <c:v>0.32564450474898199</c:v>
                </c:pt>
                <c:pt idx="2">
                  <c:v>0.8</c:v>
                </c:pt>
                <c:pt idx="3">
                  <c:v>0.69240000000000002</c:v>
                </c:pt>
                <c:pt idx="4">
                  <c:v>0.76690000000000003</c:v>
                </c:pt>
                <c:pt idx="5" formatCode="#,##0.00_);\(#,##0.00\)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F-F34C-8478-6447A4FFDAAA}"/>
            </c:ext>
          </c:extLst>
        </c:ser>
        <c:ser>
          <c:idx val="2"/>
          <c:order val="2"/>
          <c:tx>
            <c:strRef>
              <c:f>'Scrap 2'!$W$13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'Scrap 2'!$T$14:$T$19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2'!$W$14:$W$19</c:f>
              <c:numCache>
                <c:formatCode>#,##0.0_)</c:formatCode>
                <c:ptCount val="6"/>
                <c:pt idx="0">
                  <c:v>23.6</c:v>
                </c:pt>
                <c:pt idx="1">
                  <c:v>16.879240162822299</c:v>
                </c:pt>
                <c:pt idx="2">
                  <c:v>8.6</c:v>
                </c:pt>
                <c:pt idx="3">
                  <c:v>16.3994</c:v>
                </c:pt>
                <c:pt idx="4">
                  <c:v>17.4847</c:v>
                </c:pt>
                <c:pt idx="5" formatCode="General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F-F34C-8478-6447A4FFDAAA}"/>
            </c:ext>
          </c:extLst>
        </c:ser>
        <c:ser>
          <c:idx val="3"/>
          <c:order val="3"/>
          <c:tx>
            <c:strRef>
              <c:f>'Scrap 2'!$X$13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'Scrap 2'!$T$14:$T$19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2'!$X$14:$X$19</c:f>
              <c:numCache>
                <c:formatCode>#,##0.0_)</c:formatCode>
                <c:ptCount val="6"/>
                <c:pt idx="0">
                  <c:v>26.6</c:v>
                </c:pt>
                <c:pt idx="1">
                  <c:v>43.582089552238799</c:v>
                </c:pt>
                <c:pt idx="2">
                  <c:v>45.8</c:v>
                </c:pt>
                <c:pt idx="3">
                  <c:v>46.282800000000002</c:v>
                </c:pt>
                <c:pt idx="4">
                  <c:v>42.382399999999997</c:v>
                </c:pt>
                <c:pt idx="5" formatCode="General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DF-F34C-8478-6447A4FFDAAA}"/>
            </c:ext>
          </c:extLst>
        </c:ser>
        <c:ser>
          <c:idx val="4"/>
          <c:order val="4"/>
          <c:tx>
            <c:strRef>
              <c:f>'Scrap 2'!$Y$13</c:f>
              <c:strCache>
                <c:ptCount val="1"/>
                <c:pt idx="0">
                  <c:v>White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'Scrap 2'!$T$14:$T$19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2'!$Y$14:$Y$19</c:f>
              <c:numCache>
                <c:formatCode>#,##0.0_)</c:formatCode>
                <c:ptCount val="6"/>
                <c:pt idx="0">
                  <c:v>48</c:v>
                </c:pt>
                <c:pt idx="1">
                  <c:v>35.576662143826297</c:v>
                </c:pt>
                <c:pt idx="2">
                  <c:v>40.1</c:v>
                </c:pt>
                <c:pt idx="3">
                  <c:v>32.7988</c:v>
                </c:pt>
                <c:pt idx="4">
                  <c:v>34.355800000000002</c:v>
                </c:pt>
                <c:pt idx="5" formatCode="General">
                  <c:v>68.2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DF-F34C-8478-6447A4FFDAAA}"/>
            </c:ext>
          </c:extLst>
        </c:ser>
        <c:ser>
          <c:idx val="5"/>
          <c:order val="5"/>
          <c:tx>
            <c:strRef>
              <c:f>'Scrap 2'!$Z$13</c:f>
              <c:strCache>
                <c:ptCount val="1"/>
                <c:pt idx="0">
                  <c:v>Native Hawaiian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'Scrap 2'!$T$14:$T$19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2'!$Z$14:$Z$19</c:f>
              <c:numCache>
                <c:formatCode>#,##0.0_)</c:formatCode>
                <c:ptCount val="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3.6400000000000002E-2</c:v>
                </c:pt>
                <c:pt idx="4">
                  <c:v>0</c:v>
                </c:pt>
                <c:pt idx="5" formatCode="General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DF-F34C-8478-6447A4FFDAAA}"/>
            </c:ext>
          </c:extLst>
        </c:ser>
        <c:ser>
          <c:idx val="6"/>
          <c:order val="6"/>
          <c:tx>
            <c:strRef>
              <c:f>'Scrap 2'!$AA$13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'Scrap 2'!$T$14:$T$19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'Scrap 2'!$AA$14:$AA$19</c:f>
              <c:numCache>
                <c:formatCode>#,##0.0_)</c:formatCode>
                <c:ptCount val="6"/>
                <c:pt idx="0" formatCode="General">
                  <c:v>0</c:v>
                </c:pt>
                <c:pt idx="1">
                  <c:v>3.17503392130258</c:v>
                </c:pt>
                <c:pt idx="2">
                  <c:v>4.3</c:v>
                </c:pt>
                <c:pt idx="3">
                  <c:v>3.5714299999999999</c:v>
                </c:pt>
                <c:pt idx="4">
                  <c:v>4.8569000000000004</c:v>
                </c:pt>
                <c:pt idx="5" formatCode="General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DF-F34C-8478-6447A4FFDA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41348592"/>
        <c:axId val="1333679072"/>
      </c:barChart>
      <c:catAx>
        <c:axId val="124134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79072"/>
        <c:crosses val="autoZero"/>
        <c:auto val="1"/>
        <c:lblAlgn val="ctr"/>
        <c:lblOffset val="100"/>
        <c:noMultiLvlLbl val="0"/>
      </c:catAx>
      <c:valAx>
        <c:axId val="13336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34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Race/ Ethnicity of students who were expelled in Illinois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Total!$D$32</c:f>
              <c:strCache>
                <c:ptCount val="1"/>
                <c:pt idx="0">
                  <c:v>American Indian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Total!$C$33:$C$38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Total!$D$33:$D$38</c:f>
              <c:numCache>
                <c:formatCode>#,##0.0_)</c:formatCode>
                <c:ptCount val="6"/>
                <c:pt idx="0">
                  <c:v>0.3</c:v>
                </c:pt>
                <c:pt idx="1">
                  <c:v>0.32123353678124</c:v>
                </c:pt>
                <c:pt idx="2">
                  <c:v>0.5</c:v>
                </c:pt>
                <c:pt idx="3">
                  <c:v>0.18820000000000001</c:v>
                </c:pt>
                <c:pt idx="4" formatCode="General">
                  <c:v>0</c:v>
                </c:pt>
                <c:pt idx="5" formatCode="#,##0.00_);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5-F641-8454-619D0AC6C54F}"/>
            </c:ext>
          </c:extLst>
        </c:ser>
        <c:ser>
          <c:idx val="1"/>
          <c:order val="1"/>
          <c:tx>
            <c:strRef>
              <c:f>Total!$E$32</c:f>
              <c:strCache>
                <c:ptCount val="1"/>
                <c:pt idx="0">
                  <c:v>Asian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Total!$C$33:$C$38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Total!$E$33:$E$38</c:f>
              <c:numCache>
                <c:formatCode>#,##0.0_)</c:formatCode>
                <c:ptCount val="6"/>
                <c:pt idx="0">
                  <c:v>0.3</c:v>
                </c:pt>
                <c:pt idx="1">
                  <c:v>0.38548024413748799</c:v>
                </c:pt>
                <c:pt idx="2">
                  <c:v>0.7</c:v>
                </c:pt>
                <c:pt idx="3">
                  <c:v>0.70589999999999997</c:v>
                </c:pt>
                <c:pt idx="4" formatCode="General">
                  <c:v>0</c:v>
                </c:pt>
                <c:pt idx="5" formatCode="#,##0.00_);\(#,##0.00\)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15-F641-8454-619D0AC6C54F}"/>
            </c:ext>
          </c:extLst>
        </c:ser>
        <c:ser>
          <c:idx val="2"/>
          <c:order val="2"/>
          <c:tx>
            <c:strRef>
              <c:f>Total!$F$32</c:f>
              <c:strCache>
                <c:ptCount val="1"/>
                <c:pt idx="0">
                  <c:v>Hispanic/ Latinx</c:v>
                </c:pt>
              </c:strCache>
            </c:strRef>
          </c:tx>
          <c:spPr>
            <a:ln w="28575" cap="rnd">
              <a:solidFill>
                <a:srgbClr val="AEAEAE"/>
              </a:solidFill>
              <a:round/>
            </a:ln>
            <a:effectLst/>
          </c:spPr>
          <c:marker>
            <c:symbol val="none"/>
          </c:marker>
          <c:cat>
            <c:strRef>
              <c:f>Total!$C$33:$C$38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Total!$F$33:$F$38</c:f>
              <c:numCache>
                <c:formatCode>#,##0.0_)</c:formatCode>
                <c:ptCount val="6"/>
                <c:pt idx="0">
                  <c:v>27.5</c:v>
                </c:pt>
                <c:pt idx="1">
                  <c:v>17.8927079987151</c:v>
                </c:pt>
                <c:pt idx="2">
                  <c:v>8.6</c:v>
                </c:pt>
                <c:pt idx="3">
                  <c:v>16.7059</c:v>
                </c:pt>
                <c:pt idx="4" formatCode="General">
                  <c:v>0</c:v>
                </c:pt>
                <c:pt idx="5" formatCode="#,##0.00_);\(#,##0.00\)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15-F641-8454-619D0AC6C54F}"/>
            </c:ext>
          </c:extLst>
        </c:ser>
        <c:ser>
          <c:idx val="3"/>
          <c:order val="3"/>
          <c:tx>
            <c:strRef>
              <c:f>Total!$G$32</c:f>
              <c:strCache>
                <c:ptCount val="1"/>
                <c:pt idx="0">
                  <c:v>Black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none"/>
          </c:marker>
          <c:cat>
            <c:strRef>
              <c:f>Total!$C$33:$C$38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Total!$G$33:$G$38</c:f>
              <c:numCache>
                <c:formatCode>#,##0.0_)</c:formatCode>
                <c:ptCount val="6"/>
                <c:pt idx="0">
                  <c:v>31</c:v>
                </c:pt>
                <c:pt idx="1">
                  <c:v>44.555091551558</c:v>
                </c:pt>
                <c:pt idx="2">
                  <c:v>46.6</c:v>
                </c:pt>
                <c:pt idx="3">
                  <c:v>46.4</c:v>
                </c:pt>
                <c:pt idx="4" formatCode="General">
                  <c:v>0</c:v>
                </c:pt>
                <c:pt idx="5" formatCode="#,##0.00_);\(#,##0.00\)">
                  <c:v>15.29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15-F641-8454-619D0AC6C54F}"/>
            </c:ext>
          </c:extLst>
        </c:ser>
        <c:ser>
          <c:idx val="4"/>
          <c:order val="4"/>
          <c:tx>
            <c:strRef>
              <c:f>Total!$H$32</c:f>
              <c:strCache>
                <c:ptCount val="1"/>
                <c:pt idx="0">
                  <c:v>White</c:v>
                </c:pt>
              </c:strCache>
            </c:strRef>
          </c:tx>
          <c:spPr>
            <a:ln w="28575" cap="rnd">
              <a:solidFill>
                <a:srgbClr val="1A3D66"/>
              </a:solidFill>
              <a:round/>
            </a:ln>
            <a:effectLst/>
          </c:spPr>
          <c:marker>
            <c:symbol val="none"/>
          </c:marker>
          <c:cat>
            <c:strRef>
              <c:f>Total!$C$33:$C$38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Total!$H$33:$H$38</c:f>
              <c:numCache>
                <c:formatCode>#,##0.0_)</c:formatCode>
                <c:ptCount val="6"/>
                <c:pt idx="0">
                  <c:v>55.9</c:v>
                </c:pt>
                <c:pt idx="1">
                  <c:v>33.825891423064597</c:v>
                </c:pt>
                <c:pt idx="2">
                  <c:v>39.299999999999997</c:v>
                </c:pt>
                <c:pt idx="3">
                  <c:v>31.905899999999999</c:v>
                </c:pt>
                <c:pt idx="4" formatCode="General">
                  <c:v>0</c:v>
                </c:pt>
                <c:pt idx="5" formatCode="#,##0.00_);\(#,##0.00\)">
                  <c:v>68.47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15-F641-8454-619D0AC6C54F}"/>
            </c:ext>
          </c:extLst>
        </c:ser>
        <c:ser>
          <c:idx val="5"/>
          <c:order val="5"/>
          <c:tx>
            <c:strRef>
              <c:f>Total!$I$32</c:f>
              <c:strCache>
                <c:ptCount val="1"/>
                <c:pt idx="0">
                  <c:v>Hawaiian</c:v>
                </c:pt>
              </c:strCache>
            </c:strRef>
          </c:tx>
          <c:spPr>
            <a:ln w="28575" cap="rnd">
              <a:solidFill>
                <a:srgbClr val="FFC269"/>
              </a:solidFill>
              <a:round/>
            </a:ln>
            <a:effectLst/>
          </c:spPr>
          <c:marker>
            <c:symbol val="none"/>
          </c:marker>
          <c:cat>
            <c:strRef>
              <c:f>Total!$C$33:$C$38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Total!$I$33:$I$38</c:f>
              <c:numCache>
                <c:formatCode>#,##0.0_)</c:formatCode>
                <c:ptCount val="6"/>
                <c:pt idx="1">
                  <c:v>0</c:v>
                </c:pt>
                <c:pt idx="2">
                  <c:v>0</c:v>
                </c:pt>
                <c:pt idx="3">
                  <c:v>4.7100000000000003E-2</c:v>
                </c:pt>
                <c:pt idx="4" formatCode="General">
                  <c:v>0</c:v>
                </c:pt>
                <c:pt idx="5" formatCode="#,##0.00_);\(#,##0.00\)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15-F641-8454-619D0AC6C54F}"/>
            </c:ext>
          </c:extLst>
        </c:ser>
        <c:ser>
          <c:idx val="6"/>
          <c:order val="6"/>
          <c:tx>
            <c:strRef>
              <c:f>Total!$J$32</c:f>
              <c:strCache>
                <c:ptCount val="1"/>
                <c:pt idx="0">
                  <c:v>Two or more races</c:v>
                </c:pt>
              </c:strCache>
            </c:strRef>
          </c:tx>
          <c:spPr>
            <a:ln w="28575" cap="rnd">
              <a:solidFill>
                <a:srgbClr val="66B871"/>
              </a:solidFill>
              <a:round/>
            </a:ln>
            <a:effectLst/>
          </c:spPr>
          <c:marker>
            <c:symbol val="none"/>
          </c:marker>
          <c:cat>
            <c:strRef>
              <c:f>Total!$C$33:$C$38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Total!$J$33:$J$38</c:f>
              <c:numCache>
                <c:formatCode>#,##0.0_)</c:formatCode>
                <c:ptCount val="6"/>
                <c:pt idx="1">
                  <c:v>3.0195952457436599</c:v>
                </c:pt>
                <c:pt idx="2">
                  <c:v>4.2</c:v>
                </c:pt>
                <c:pt idx="3">
                  <c:v>4.0471000000000004</c:v>
                </c:pt>
                <c:pt idx="4" formatCode="General">
                  <c:v>0</c:v>
                </c:pt>
                <c:pt idx="5" formatCode="#,##0.00_);\(#,##0.00\)">
                  <c:v>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15-F641-8454-619D0AC6C54F}"/>
            </c:ext>
          </c:extLst>
        </c:ser>
        <c:ser>
          <c:idx val="7"/>
          <c:order val="7"/>
          <c:tx>
            <c:strRef>
              <c:f>Total!$K$32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Total!$C$33:$C$38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Total!$K$33:$K$38</c:f>
              <c:numCache>
                <c:formatCode>#,##0.0_)</c:formatCode>
                <c:ptCount val="6"/>
                <c:pt idx="0" formatCode="General">
                  <c:v>18.100000000000001</c:v>
                </c:pt>
                <c:pt idx="1">
                  <c:v>27.4</c:v>
                </c:pt>
                <c:pt idx="2">
                  <c:v>19.8</c:v>
                </c:pt>
                <c:pt idx="3">
                  <c:v>18.7</c:v>
                </c:pt>
                <c:pt idx="4">
                  <c:v>13.2</c:v>
                </c:pt>
                <c:pt idx="5" formatCode="#,##0.0_);\(#,##0.0\)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15-F641-8454-619D0AC6C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035407"/>
        <c:axId val="1769098096"/>
      </c:lineChart>
      <c:catAx>
        <c:axId val="41703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098096"/>
        <c:crosses val="autoZero"/>
        <c:auto val="1"/>
        <c:lblAlgn val="ctr"/>
        <c:lblOffset val="100"/>
        <c:noMultiLvlLbl val="0"/>
      </c:catAx>
      <c:valAx>
        <c:axId val="1769098096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354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Male and Female Students who were Expelled in Illinois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Total!$D$67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Total!$C$68:$C$73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Total!$D$68:$D$73</c:f>
              <c:numCache>
                <c:formatCode>0.00%</c:formatCode>
                <c:ptCount val="6"/>
                <c:pt idx="0">
                  <c:v>0.18099999999999999</c:v>
                </c:pt>
                <c:pt idx="1">
                  <c:v>0.27400000000000002</c:v>
                </c:pt>
                <c:pt idx="2">
                  <c:v>0.19800000000000001</c:v>
                </c:pt>
                <c:pt idx="3">
                  <c:v>0.187</c:v>
                </c:pt>
                <c:pt idx="4">
                  <c:v>0.13200000000000001</c:v>
                </c:pt>
                <c:pt idx="5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B-6440-9133-359C7470491C}"/>
            </c:ext>
          </c:extLst>
        </c:ser>
        <c:ser>
          <c:idx val="1"/>
          <c:order val="1"/>
          <c:tx>
            <c:strRef>
              <c:f>Total!$E$67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196B24"/>
              </a:solidFill>
              <a:round/>
            </a:ln>
            <a:effectLst/>
          </c:spPr>
          <c:marker>
            <c:symbol val="none"/>
          </c:marker>
          <c:cat>
            <c:strRef>
              <c:f>Total!$C$68:$C$73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Total!$E$68:$E$73</c:f>
              <c:numCache>
                <c:formatCode>0.00%</c:formatCode>
                <c:ptCount val="6"/>
                <c:pt idx="0">
                  <c:v>0.71299999999999997</c:v>
                </c:pt>
                <c:pt idx="1">
                  <c:v>0.70399999999999996</c:v>
                </c:pt>
                <c:pt idx="2">
                  <c:v>0.69899999999999995</c:v>
                </c:pt>
                <c:pt idx="3">
                  <c:v>0.68799999999999994</c:v>
                </c:pt>
                <c:pt idx="4">
                  <c:v>0.67300000000000004</c:v>
                </c:pt>
                <c:pt idx="5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1B-6440-9133-359C7470491C}"/>
            </c:ext>
          </c:extLst>
        </c:ser>
        <c:ser>
          <c:idx val="2"/>
          <c:order val="2"/>
          <c:tx>
            <c:strRef>
              <c:f>Total!$F$67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none"/>
          </c:marker>
          <c:cat>
            <c:strRef>
              <c:f>Total!$C$68:$C$73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Total!$F$68:$F$73</c:f>
              <c:numCache>
                <c:formatCode>0.00%</c:formatCode>
                <c:ptCount val="6"/>
                <c:pt idx="0">
                  <c:v>0.28599999999999998</c:v>
                </c:pt>
                <c:pt idx="1">
                  <c:v>0.29599999999999999</c:v>
                </c:pt>
                <c:pt idx="2">
                  <c:v>0.30099999999999999</c:v>
                </c:pt>
                <c:pt idx="3">
                  <c:v>0.312</c:v>
                </c:pt>
                <c:pt idx="4">
                  <c:v>0.32700000000000001</c:v>
                </c:pt>
                <c:pt idx="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1B-6440-9133-359C74704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743887"/>
        <c:axId val="603625296"/>
      </c:lineChart>
      <c:catAx>
        <c:axId val="67674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25296"/>
        <c:crosses val="autoZero"/>
        <c:auto val="1"/>
        <c:lblAlgn val="ctr"/>
        <c:lblOffset val="100"/>
        <c:noMultiLvlLbl val="0"/>
      </c:catAx>
      <c:valAx>
        <c:axId val="60362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4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Total Students Expelled in Illinois with respect to Total Students Expelled in the United States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Total!$B$104</c:f>
              <c:strCache>
                <c:ptCount val="1"/>
                <c:pt idx="0">
                  <c:v>Percentage (%)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cat>
            <c:strRef>
              <c:f>Total!$A$105:$A$110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Total!$B$105:$B$110</c:f>
              <c:numCache>
                <c:formatCode>0.00%</c:formatCode>
                <c:ptCount val="6"/>
                <c:pt idx="0">
                  <c:v>0.02</c:v>
                </c:pt>
                <c:pt idx="1">
                  <c:v>3.5000000000000003E-2</c:v>
                </c:pt>
                <c:pt idx="2">
                  <c:v>2.7E-2</c:v>
                </c:pt>
                <c:pt idx="3">
                  <c:v>2.8000000000000001E-2</c:v>
                </c:pt>
                <c:pt idx="4">
                  <c:v>0.02</c:v>
                </c:pt>
                <c:pt idx="5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1-8340-B378-5BEAA66B01A7}"/>
            </c:ext>
          </c:extLst>
        </c:ser>
        <c:ser>
          <c:idx val="1"/>
          <c:order val="1"/>
          <c:tx>
            <c:strRef>
              <c:f>Total!$C$104</c:f>
              <c:strCache>
                <c:ptCount val="1"/>
                <c:pt idx="0">
                  <c:v>Percentage Male (%)</c:v>
                </c:pt>
              </c:strCache>
            </c:strRef>
          </c:tx>
          <c:spPr>
            <a:ln w="28575" cap="rnd">
              <a:solidFill>
                <a:srgbClr val="196B2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96B24"/>
              </a:solidFill>
              <a:ln w="9525">
                <a:solidFill>
                  <a:srgbClr val="196B24"/>
                </a:solidFill>
              </a:ln>
              <a:effectLst/>
            </c:spPr>
          </c:marker>
          <c:cat>
            <c:strRef>
              <c:f>Total!$A$105:$A$110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Total!$C$105:$C$110</c:f>
              <c:numCache>
                <c:formatCode>0.00%</c:formatCode>
                <c:ptCount val="6"/>
                <c:pt idx="0">
                  <c:v>1.9E-2</c:v>
                </c:pt>
                <c:pt idx="1">
                  <c:v>3.4000000000000002E-2</c:v>
                </c:pt>
                <c:pt idx="2">
                  <c:v>2.5999999999999999E-2</c:v>
                </c:pt>
                <c:pt idx="3">
                  <c:v>2.7E-2</c:v>
                </c:pt>
                <c:pt idx="4">
                  <c:v>1.9E-2</c:v>
                </c:pt>
                <c:pt idx="5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61-8340-B378-5BEAA66B01A7}"/>
            </c:ext>
          </c:extLst>
        </c:ser>
        <c:ser>
          <c:idx val="2"/>
          <c:order val="2"/>
          <c:tx>
            <c:strRef>
              <c:f>Total!$D$104</c:f>
              <c:strCache>
                <c:ptCount val="1"/>
                <c:pt idx="0">
                  <c:v>Percentage Female (%)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51C"/>
              </a:solidFill>
              <a:ln w="9525">
                <a:solidFill>
                  <a:srgbClr val="FF751C"/>
                </a:solidFill>
              </a:ln>
              <a:effectLst/>
            </c:spPr>
          </c:marker>
          <c:cat>
            <c:strRef>
              <c:f>Total!$A$105:$A$110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Total!$D$105:$D$110</c:f>
              <c:numCache>
                <c:formatCode>0.00%</c:formatCode>
                <c:ptCount val="6"/>
                <c:pt idx="0">
                  <c:v>2.1999999999999999E-2</c:v>
                </c:pt>
                <c:pt idx="1">
                  <c:v>3.9E-2</c:v>
                </c:pt>
                <c:pt idx="2">
                  <c:v>2.9000000000000001E-2</c:v>
                </c:pt>
                <c:pt idx="3">
                  <c:v>0.03</c:v>
                </c:pt>
                <c:pt idx="4">
                  <c:v>2.1999999999999999E-2</c:v>
                </c:pt>
                <c:pt idx="5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61-8340-B378-5BEAA66B0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453744"/>
        <c:axId val="1665179328"/>
      </c:lineChart>
      <c:catAx>
        <c:axId val="15184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79328"/>
        <c:crosses val="autoZero"/>
        <c:auto val="1"/>
        <c:lblAlgn val="ctr"/>
        <c:lblOffset val="100"/>
        <c:noMultiLvlLbl val="0"/>
      </c:catAx>
      <c:valAx>
        <c:axId val="16651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4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Total Students Expelled in Illinois with respect to Total Students Expelled in the United States by Disability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Total!$C$85</c:f>
              <c:strCache>
                <c:ptCount val="1"/>
                <c:pt idx="0">
                  <c:v>Percentage Female (%)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Total!$B$86:$B$91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Total!$C$86:$C$91</c:f>
              <c:numCache>
                <c:formatCode>0.0%</c:formatCode>
                <c:ptCount val="6"/>
                <c:pt idx="0">
                  <c:v>2.1000000000000001E-2</c:v>
                </c:pt>
                <c:pt idx="1">
                  <c:v>3.7999999999999999E-2</c:v>
                </c:pt>
                <c:pt idx="2">
                  <c:v>2.8000000000000001E-2</c:v>
                </c:pt>
                <c:pt idx="3">
                  <c:v>0.03</c:v>
                </c:pt>
                <c:pt idx="4">
                  <c:v>2.1999999999999999E-2</c:v>
                </c:pt>
                <c:pt idx="5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5-0149-A60C-BC13C036C72E}"/>
            </c:ext>
          </c:extLst>
        </c:ser>
        <c:ser>
          <c:idx val="1"/>
          <c:order val="1"/>
          <c:tx>
            <c:strRef>
              <c:f>Total!$D$85</c:f>
              <c:strCache>
                <c:ptCount val="1"/>
                <c:pt idx="0">
                  <c:v>Percentage Female SWD (%)</c:v>
                </c:pt>
              </c:strCache>
            </c:strRef>
          </c:tx>
          <c:spPr>
            <a:ln w="28575" cap="rnd">
              <a:solidFill>
                <a:srgbClr val="1A3D66"/>
              </a:solidFill>
              <a:round/>
            </a:ln>
            <a:effectLst/>
          </c:spPr>
          <c:marker>
            <c:symbol val="none"/>
          </c:marker>
          <c:cat>
            <c:strRef>
              <c:f>Total!$B$86:$B$91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Total!$D$86:$D$91</c:f>
              <c:numCache>
                <c:formatCode>0.0%</c:formatCode>
                <c:ptCount val="6"/>
                <c:pt idx="0">
                  <c:v>1.7999999999999999E-2</c:v>
                </c:pt>
                <c:pt idx="1">
                  <c:v>3.1E-2</c:v>
                </c:pt>
                <c:pt idx="2">
                  <c:v>2.1999999999999999E-2</c:v>
                </c:pt>
                <c:pt idx="3">
                  <c:v>3.1E-2</c:v>
                </c:pt>
                <c:pt idx="4">
                  <c:v>2.1000000000000001E-2</c:v>
                </c:pt>
                <c:pt idx="5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D5-0149-A60C-BC13C036C72E}"/>
            </c:ext>
          </c:extLst>
        </c:ser>
        <c:ser>
          <c:idx val="2"/>
          <c:order val="2"/>
          <c:tx>
            <c:strRef>
              <c:f>Total!$E$85</c:f>
              <c:strCache>
                <c:ptCount val="1"/>
                <c:pt idx="0">
                  <c:v>Percentage Female SWOD (%)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Total!$B$86:$B$91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Total!$E$86:$E$91</c:f>
              <c:numCache>
                <c:formatCode>0.0%</c:formatCode>
                <c:ptCount val="6"/>
                <c:pt idx="0">
                  <c:v>2.1999999999999999E-2</c:v>
                </c:pt>
                <c:pt idx="1">
                  <c:v>3.9E-2</c:v>
                </c:pt>
                <c:pt idx="2">
                  <c:v>2.9000000000000001E-2</c:v>
                </c:pt>
                <c:pt idx="3">
                  <c:v>0.03</c:v>
                </c:pt>
                <c:pt idx="4">
                  <c:v>2.1999999999999999E-2</c:v>
                </c:pt>
                <c:pt idx="5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D5-0149-A60C-BC13C036C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360704"/>
        <c:axId val="396169599"/>
      </c:lineChart>
      <c:catAx>
        <c:axId val="15183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69599"/>
        <c:crosses val="autoZero"/>
        <c:auto val="1"/>
        <c:lblAlgn val="ctr"/>
        <c:lblOffset val="100"/>
        <c:noMultiLvlLbl val="0"/>
      </c:catAx>
      <c:valAx>
        <c:axId val="39616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Students who were Expelled in Illinois vs United</a:t>
            </a:r>
            <a:r>
              <a:rPr lang="en-US" baseline="0"/>
              <a:t>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Total!$T$128</c:f>
              <c:strCache>
                <c:ptCount val="1"/>
                <c:pt idx="0">
                  <c:v>Illinois Total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0754120432352298E-2"/>
                  <c:y val="4.7178797772229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CB-5D40-903F-BF044656C558}"/>
                </c:ext>
              </c:extLst>
            </c:dLbl>
            <c:dLbl>
              <c:idx val="5"/>
              <c:layout>
                <c:manualLayout>
                  <c:x val="-4.7646493756005248E-3"/>
                  <c:y val="-2.50731707317074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CB-5D40-903F-BF044656C558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Total!$B$129:$B$134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Total!$T$129:$T$134</c:f>
              <c:numCache>
                <c:formatCode>0.0%</c:formatCode>
                <c:ptCount val="6"/>
                <c:pt idx="0">
                  <c:v>0.12</c:v>
                </c:pt>
                <c:pt idx="1">
                  <c:v>0.185</c:v>
                </c:pt>
                <c:pt idx="2">
                  <c:v>0.13400000000000001</c:v>
                </c:pt>
                <c:pt idx="3">
                  <c:v>0.14099999999999999</c:v>
                </c:pt>
                <c:pt idx="4">
                  <c:v>0.1</c:v>
                </c:pt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B-5D40-903F-BF044656C558}"/>
            </c:ext>
          </c:extLst>
        </c:ser>
        <c:ser>
          <c:idx val="1"/>
          <c:order val="1"/>
          <c:tx>
            <c:strRef>
              <c:f>Total!$U$128</c:f>
              <c:strCache>
                <c:ptCount val="1"/>
                <c:pt idx="0">
                  <c:v>National Total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dLbls>
            <c:dLbl>
              <c:idx val="1"/>
              <c:layout>
                <c:manualLayout>
                  <c:x val="-3.8832890845416655E-2"/>
                  <c:y val="-5.0382177837526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CB-5D40-903F-BF044656C558}"/>
                </c:ext>
              </c:extLst>
            </c:dLbl>
            <c:dLbl>
              <c:idx val="5"/>
              <c:layout>
                <c:manualLayout>
                  <c:x val="-4.7646493756005248E-3"/>
                  <c:y val="-4.1333333333333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CB-5D40-903F-BF044656C558}"/>
                </c:ext>
              </c:extLst>
            </c:dLbl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Total!$B$129:$B$134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Total!$U$129:$U$134</c:f>
              <c:numCache>
                <c:formatCode>0.0%</c:formatCode>
                <c:ptCount val="6"/>
                <c:pt idx="0">
                  <c:v>0.216</c:v>
                </c:pt>
                <c:pt idx="1">
                  <c:v>0.191</c:v>
                </c:pt>
                <c:pt idx="2">
                  <c:v>0.192</c:v>
                </c:pt>
                <c:pt idx="3">
                  <c:v>0.17399999999999999</c:v>
                </c:pt>
                <c:pt idx="4">
                  <c:v>0.17499999999999999</c:v>
                </c:pt>
                <c:pt idx="5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B-5D40-903F-BF044656C55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8063343"/>
        <c:axId val="686518559"/>
      </c:lineChart>
      <c:catAx>
        <c:axId val="69806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518559"/>
        <c:crosses val="autoZero"/>
        <c:auto val="1"/>
        <c:lblAlgn val="ctr"/>
        <c:lblOffset val="100"/>
        <c:noMultiLvlLbl val="0"/>
      </c:catAx>
      <c:valAx>
        <c:axId val="68651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06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Students Expelled With and without Disabilitites who</a:t>
            </a:r>
            <a:r>
              <a:rPr lang="en-US" baseline="0"/>
              <a:t> served under IDEA in Illinois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Total!$C$149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dLbls>
            <c:dLbl>
              <c:idx val="1"/>
              <c:layout>
                <c:manualLayout>
                  <c:x val="-7.7160603371783515E-2"/>
                  <c:y val="-8.785046728971986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63-42E1-A1A7-D726DB33243C}"/>
                </c:ext>
              </c:extLst>
            </c:dLbl>
            <c:dLbl>
              <c:idx val="4"/>
              <c:layout>
                <c:manualLayout>
                  <c:x val="-3.4569653948536068E-2"/>
                  <c:y val="-4.3497997329773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E0E-4A40-9169-4427E063557A}"/>
                </c:ext>
              </c:extLst>
            </c:dLbl>
            <c:dLbl>
              <c:idx val="5"/>
              <c:layout>
                <c:manualLayout>
                  <c:x val="-2.5696539485359361E-2"/>
                  <c:y val="-3.2817089452603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63-42E1-A1A7-D726DB3324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Total!$A$150:$A$155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Total!$C$150:$C$155</c:f>
              <c:numCache>
                <c:formatCode>#,##0.0_)</c:formatCode>
                <c:ptCount val="6"/>
                <c:pt idx="1">
                  <c:v>3.18021201413428</c:v>
                </c:pt>
                <c:pt idx="2">
                  <c:v>1.3</c:v>
                </c:pt>
                <c:pt idx="3">
                  <c:v>3.2940999999999998</c:v>
                </c:pt>
                <c:pt idx="4" formatCode="General">
                  <c:v>0</c:v>
                </c:pt>
                <c:pt idx="5" formatCode="#,##0.00_);\(#,##0.00\)">
                  <c:v>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E-4A40-9169-4427E063557A}"/>
            </c:ext>
          </c:extLst>
        </c:ser>
        <c:ser>
          <c:idx val="1"/>
          <c:order val="1"/>
          <c:tx>
            <c:strRef>
              <c:f>Total!$E$149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196B2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96B24"/>
              </a:solidFill>
              <a:ln w="9525">
                <a:solidFill>
                  <a:srgbClr val="196B24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9245785270630056E-2"/>
                  <c:y val="-3.54873164218958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0E-4A40-9169-4427E063557A}"/>
                </c:ext>
              </c:extLst>
            </c:dLbl>
            <c:dLbl>
              <c:idx val="3"/>
              <c:layout>
                <c:manualLayout>
                  <c:x val="-1.3274179236912221E-2"/>
                  <c:y val="-3.54873164218959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63-42E1-A1A7-D726DB3324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Total!$A$150:$A$155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Total!$E$150:$E$155</c:f>
              <c:numCache>
                <c:formatCode>#,##0.0_)</c:formatCode>
                <c:ptCount val="6"/>
                <c:pt idx="0">
                  <c:v>2.4</c:v>
                </c:pt>
                <c:pt idx="1">
                  <c:v>2.4413748795374199</c:v>
                </c:pt>
                <c:pt idx="2">
                  <c:v>1.8</c:v>
                </c:pt>
                <c:pt idx="3">
                  <c:v>3.8304</c:v>
                </c:pt>
                <c:pt idx="4" formatCode="General">
                  <c:v>0</c:v>
                </c:pt>
                <c:pt idx="5" formatCode="#,##0.00_);\(#,##0.00\)">
                  <c:v>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0E-4A40-9169-4427E063557A}"/>
            </c:ext>
          </c:extLst>
        </c:ser>
        <c:ser>
          <c:idx val="2"/>
          <c:order val="2"/>
          <c:tx>
            <c:strRef>
              <c:f>Total!$G$149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51C"/>
              </a:solidFill>
              <a:ln w="9525">
                <a:solidFill>
                  <a:srgbClr val="FF751C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9893522626441878E-2"/>
                  <c:y val="-3.54873164218958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63-42E1-A1A7-D726DB33243C}"/>
                </c:ext>
              </c:extLst>
            </c:dLbl>
            <c:dLbl>
              <c:idx val="4"/>
              <c:layout>
                <c:manualLayout>
                  <c:x val="-4.3442768411712511E-2"/>
                  <c:y val="-4.0827770360480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0E-4A40-9169-4427E063557A}"/>
                </c:ext>
              </c:extLst>
            </c:dLbl>
            <c:dLbl>
              <c:idx val="5"/>
              <c:layout>
                <c:manualLayout>
                  <c:x val="-3.4569653948535936E-2"/>
                  <c:y val="-4.0827770360480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63-42E1-A1A7-D726DB3324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Total!$A$150:$A$155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Total!$G$150:$G$155</c:f>
              <c:numCache>
                <c:formatCode>#,##0.0_)</c:formatCode>
                <c:ptCount val="6"/>
                <c:pt idx="0">
                  <c:v>3.6</c:v>
                </c:pt>
                <c:pt idx="1">
                  <c:v>0.73883713459685196</c:v>
                </c:pt>
                <c:pt idx="2">
                  <c:v>0.3</c:v>
                </c:pt>
                <c:pt idx="3">
                  <c:v>2.1116000000000001</c:v>
                </c:pt>
                <c:pt idx="4" formatCode="General">
                  <c:v>0</c:v>
                </c:pt>
                <c:pt idx="5" formatCode="#,##0.00_);\(#,##0.00\)">
                  <c:v>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0E-4A40-9169-4427E063557A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0480303"/>
        <c:axId val="1790816879"/>
      </c:lineChart>
      <c:catAx>
        <c:axId val="179048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816879"/>
        <c:crosses val="autoZero"/>
        <c:auto val="1"/>
        <c:lblAlgn val="ctr"/>
        <c:lblOffset val="100"/>
        <c:noMultiLvlLbl val="0"/>
      </c:catAx>
      <c:valAx>
        <c:axId val="179081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8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English Learners Expelled in Illinois by Disability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Total!$D$195</c:f>
              <c:strCache>
                <c:ptCount val="1"/>
                <c:pt idx="0">
                  <c:v>Percent2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7257781588490248E-2"/>
                  <c:y val="3.67326881496641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C4-7B42-A6AA-199D8CCDF214}"/>
                </c:ext>
              </c:extLst>
            </c:dLbl>
            <c:dLbl>
              <c:idx val="2"/>
              <c:layout>
                <c:manualLayout>
                  <c:x val="-4.1263775594484256E-2"/>
                  <c:y val="-4.2562466035357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9C4-7B42-A6AA-199D8CCDF214}"/>
                </c:ext>
              </c:extLst>
            </c:dLbl>
            <c:dLbl>
              <c:idx val="5"/>
              <c:layout>
                <c:manualLayout>
                  <c:x val="-2.5279759610468272E-2"/>
                  <c:y val="2.498525790003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C4-7B42-A6AA-199D8CCDF214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Total!$B$196:$B$201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Total!$D$196:$D$201</c:f>
              <c:numCache>
                <c:formatCode>0.0%</c:formatCode>
                <c:ptCount val="6"/>
                <c:pt idx="0">
                  <c:v>2.7E-2</c:v>
                </c:pt>
                <c:pt idx="1">
                  <c:v>2.8000000000000001E-2</c:v>
                </c:pt>
                <c:pt idx="2">
                  <c:v>1.7000000000000001E-2</c:v>
                </c:pt>
                <c:pt idx="3">
                  <c:v>3.7999999999999999E-2</c:v>
                </c:pt>
                <c:pt idx="4">
                  <c:v>3.6999999999999998E-2</c:v>
                </c:pt>
                <c:pt idx="5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4-7B42-A6AA-199D8CCDF214}"/>
            </c:ext>
          </c:extLst>
        </c:ser>
        <c:ser>
          <c:idx val="1"/>
          <c:order val="1"/>
          <c:tx>
            <c:strRef>
              <c:f>Total!$F$195</c:f>
              <c:strCache>
                <c:ptCount val="1"/>
                <c:pt idx="0">
                  <c:v>Percent2</c:v>
                </c:pt>
              </c:strCache>
            </c:strRef>
          </c:tx>
          <c:spPr>
            <a:ln w="28575" cap="rnd">
              <a:solidFill>
                <a:srgbClr val="196B2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6.9426636355770209E-4"/>
                  <c:y val="1.32378276503983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9C4-7B42-A6AA-199D8CCDF214}"/>
                </c:ext>
              </c:extLst>
            </c:dLbl>
            <c:spPr>
              <a:solidFill>
                <a:srgbClr val="196B2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Total!$B$196:$B$201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Total!$F$196:$F$201</c:f>
              <c:numCache>
                <c:formatCode>0.0%</c:formatCode>
                <c:ptCount val="6"/>
                <c:pt idx="1">
                  <c:v>1.0016694490818E-2</c:v>
                </c:pt>
                <c:pt idx="2">
                  <c:v>3.6999999999999998E-2</c:v>
                </c:pt>
                <c:pt idx="3">
                  <c:v>5.3671999999999997E-2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4-7B42-A6AA-199D8CCDF214}"/>
            </c:ext>
          </c:extLst>
        </c:ser>
        <c:ser>
          <c:idx val="2"/>
          <c:order val="2"/>
          <c:tx>
            <c:strRef>
              <c:f>Total!$H$195</c:f>
              <c:strCache>
                <c:ptCount val="1"/>
                <c:pt idx="0">
                  <c:v>Percent2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327176760247634E-2"/>
                  <c:y val="3.08589730248476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C4-7B42-A6AA-199D8CCDF214}"/>
                </c:ext>
              </c:extLst>
            </c:dLbl>
            <c:dLbl>
              <c:idx val="3"/>
              <c:layout>
                <c:manualLayout>
                  <c:x val="-1.3037356344443691E-3"/>
                  <c:y val="-1.3193890411275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C4-7B42-A6AA-199D8CCDF214}"/>
                </c:ext>
              </c:extLst>
            </c:dLbl>
            <c:dLbl>
              <c:idx val="4"/>
              <c:layout>
                <c:manualLayout>
                  <c:x val="1.268227835156969E-2"/>
                  <c:y val="-2.78781782233169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9C4-7B42-A6AA-199D8CCDF214}"/>
                </c:ext>
              </c:extLst>
            </c:dLbl>
            <c:spPr>
              <a:solidFill>
                <a:srgbClr val="FF751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Total!$B$196:$B$201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Total!$H$196:$H$201</c:f>
              <c:numCache>
                <c:formatCode>0.0%</c:formatCode>
                <c:ptCount val="6"/>
                <c:pt idx="1">
                  <c:v>3.1802120141342802E-2</c:v>
                </c:pt>
                <c:pt idx="2">
                  <c:v>1.2999999999999999E-2</c:v>
                </c:pt>
                <c:pt idx="3">
                  <c:v>3.2940999999999998E-2</c:v>
                </c:pt>
                <c:pt idx="4">
                  <c:v>0</c:v>
                </c:pt>
                <c:pt idx="5">
                  <c:v>3.8199999999999998E-2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4-7B42-A6AA-199D8CCDF2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08388367"/>
        <c:axId val="1861163855"/>
      </c:lineChart>
      <c:catAx>
        <c:axId val="19083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163855"/>
        <c:crosses val="autoZero"/>
        <c:auto val="1"/>
        <c:lblAlgn val="ctr"/>
        <c:lblOffset val="100"/>
        <c:noMultiLvlLbl val="0"/>
      </c:catAx>
      <c:valAx>
        <c:axId val="18611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38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Latinx Students among</a:t>
            </a:r>
            <a:r>
              <a:rPr lang="en-US" baseline="0"/>
              <a:t> Total </a:t>
            </a:r>
            <a:r>
              <a:rPr lang="en-US"/>
              <a:t>Expelled Students in Illinois vs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Total!$X$33</c:f>
              <c:strCache>
                <c:ptCount val="1"/>
                <c:pt idx="0">
                  <c:v>Illinois Black WOD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51C"/>
              </a:solidFill>
              <a:ln w="9525">
                <a:solidFill>
                  <a:srgbClr val="FF751C"/>
                </a:solidFill>
              </a:ln>
              <a:effectLst/>
            </c:spPr>
          </c:marker>
          <c:dLbls>
            <c:spPr>
              <a:solidFill>
                <a:srgbClr val="FF751C"/>
              </a:solidFill>
              <a:ln>
                <a:solidFill>
                  <a:srgbClr val="AEAEAE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Total!$V$34:$V$39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Total!$X$34:$X$38</c:f>
              <c:numCache>
                <c:formatCode>0.00%</c:formatCode>
                <c:ptCount val="5"/>
                <c:pt idx="0">
                  <c:v>0.31</c:v>
                </c:pt>
                <c:pt idx="1">
                  <c:v>0.44600000000000001</c:v>
                </c:pt>
                <c:pt idx="2">
                  <c:v>0.46600000000000003</c:v>
                </c:pt>
                <c:pt idx="3">
                  <c:v>0.46400000000000002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36-9F45-AC11-418FD022715E}"/>
            </c:ext>
          </c:extLst>
        </c:ser>
        <c:ser>
          <c:idx val="1"/>
          <c:order val="1"/>
          <c:tx>
            <c:strRef>
              <c:f>Total!$Z$33</c:f>
              <c:strCache>
                <c:ptCount val="1"/>
                <c:pt idx="0">
                  <c:v>National Black WOD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4.3888034218984726E-2"/>
                  <c:y val="3.46125899515028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36-9F45-AC11-418FD022715E}"/>
                </c:ext>
              </c:extLst>
            </c:dLbl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Total!$V$34:$V$39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Total!$Z$34:$Z$39</c:f>
              <c:numCache>
                <c:formatCode>0.00%</c:formatCode>
                <c:ptCount val="6"/>
                <c:pt idx="0">
                  <c:v>0.38300000000000001</c:v>
                </c:pt>
                <c:pt idx="1">
                  <c:v>0.36299999999999999</c:v>
                </c:pt>
                <c:pt idx="2">
                  <c:v>0.316</c:v>
                </c:pt>
                <c:pt idx="3">
                  <c:v>0.35</c:v>
                </c:pt>
                <c:pt idx="5">
                  <c:v>0.26290000000000002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36-9F45-AC11-418FD0227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98992"/>
        <c:axId val="1948752223"/>
      </c:lineChart>
      <c:catAx>
        <c:axId val="139519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752223"/>
        <c:crosses val="autoZero"/>
        <c:auto val="1"/>
        <c:lblAlgn val="ctr"/>
        <c:lblOffset val="100"/>
        <c:noMultiLvlLbl val="0"/>
      </c:catAx>
      <c:valAx>
        <c:axId val="194875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989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Latinx Students among</a:t>
            </a:r>
            <a:r>
              <a:rPr lang="en-US" baseline="0"/>
              <a:t> Total </a:t>
            </a:r>
            <a:r>
              <a:rPr lang="en-US"/>
              <a:t>Expelled Students in Illinois vs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Total!$X$33</c:f>
              <c:strCache>
                <c:ptCount val="1"/>
                <c:pt idx="0">
                  <c:v>Illinois Black WOD</c:v>
                </c:pt>
              </c:strCache>
            </c:strRef>
          </c:tx>
          <c:spPr>
            <a:ln w="28575" cap="rnd">
              <a:solidFill>
                <a:srgbClr val="FF751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51C"/>
              </a:solidFill>
              <a:ln w="9525">
                <a:solidFill>
                  <a:srgbClr val="FF751C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3.2637729927957639E-2"/>
                  <c:y val="4.62378126980816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10-7A4B-B548-8617B9573A7B}"/>
                </c:ext>
              </c:extLst>
            </c:dLbl>
            <c:numFmt formatCode="0.0%" sourceLinked="0"/>
            <c:spPr>
              <a:solidFill>
                <a:srgbClr val="FF751C"/>
              </a:solidFill>
              <a:ln>
                <a:solidFill>
                  <a:srgbClr val="AEAEAE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Total!$V$34:$V$39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Total!$X$34:$X$38</c:f>
              <c:numCache>
                <c:formatCode>0.00%</c:formatCode>
                <c:ptCount val="5"/>
                <c:pt idx="0">
                  <c:v>0.31</c:v>
                </c:pt>
                <c:pt idx="1">
                  <c:v>0.44600000000000001</c:v>
                </c:pt>
                <c:pt idx="2">
                  <c:v>0.46600000000000003</c:v>
                </c:pt>
                <c:pt idx="3">
                  <c:v>0.46400000000000002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10-7A4B-B548-8617B9573A7B}"/>
            </c:ext>
          </c:extLst>
        </c:ser>
        <c:ser>
          <c:idx val="1"/>
          <c:order val="1"/>
          <c:tx>
            <c:strRef>
              <c:f>Total!$Z$33</c:f>
              <c:strCache>
                <c:ptCount val="1"/>
                <c:pt idx="0">
                  <c:v>National Black WOD</c:v>
                </c:pt>
              </c:strCache>
            </c:strRef>
          </c:tx>
          <c:spPr>
            <a:ln w="28575" cap="rnd">
              <a:solidFill>
                <a:srgbClr val="E97132">
                  <a:lumMod val="60000"/>
                  <a:lumOff val="40000"/>
                </a:srgb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E97132">
                  <a:lumMod val="60000"/>
                  <a:lumOff val="40000"/>
                </a:srgbClr>
              </a:solidFill>
              <a:ln w="9525">
                <a:solidFill>
                  <a:srgbClr val="E97132">
                    <a:lumMod val="60000"/>
                    <a:lumOff val="40000"/>
                  </a:srgbClr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4.3888034218984726E-2"/>
                  <c:y val="3.46125899515028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10-7A4B-B548-8617B9573A7B}"/>
                </c:ext>
              </c:extLst>
            </c:dLbl>
            <c:dLbl>
              <c:idx val="5"/>
              <c:layout>
                <c:manualLayout>
                  <c:x val="-7.4542488166511475E-2"/>
                  <c:y val="-3.843574881573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10-7A4B-B548-8617B9573A7B}"/>
                </c:ext>
              </c:extLst>
            </c:dLbl>
            <c:numFmt formatCode="0.0%" sourceLinked="0"/>
            <c:spPr>
              <a:solidFill>
                <a:srgbClr val="E97132">
                  <a:lumMod val="60000"/>
                  <a:lumOff val="4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Total!$V$34:$V$39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Total!$Z$34:$Z$39</c:f>
              <c:numCache>
                <c:formatCode>0.00%</c:formatCode>
                <c:ptCount val="6"/>
                <c:pt idx="0">
                  <c:v>0.38300000000000001</c:v>
                </c:pt>
                <c:pt idx="1">
                  <c:v>0.36299999999999999</c:v>
                </c:pt>
                <c:pt idx="2">
                  <c:v>0.316</c:v>
                </c:pt>
                <c:pt idx="3">
                  <c:v>0.35</c:v>
                </c:pt>
                <c:pt idx="5">
                  <c:v>0.26290000000000002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10-7A4B-B548-8617B9573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98992"/>
        <c:axId val="1948752223"/>
      </c:lineChart>
      <c:catAx>
        <c:axId val="139519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752223"/>
        <c:crosses val="autoZero"/>
        <c:auto val="1"/>
        <c:lblAlgn val="ctr"/>
        <c:lblOffset val="100"/>
        <c:noMultiLvlLbl val="0"/>
      </c:catAx>
      <c:valAx>
        <c:axId val="194875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19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Students Expelled in Illinois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Total!$AP$7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Total!$AO$8:$AO$13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Total!$AP$8:$AP$13</c:f>
              <c:numCache>
                <c:formatCode>#,##0_)</c:formatCode>
                <c:ptCount val="6"/>
                <c:pt idx="0">
                  <c:v>2400</c:v>
                </c:pt>
                <c:pt idx="1">
                  <c:v>3712</c:v>
                </c:pt>
                <c:pt idx="2">
                  <c:v>2682</c:v>
                </c:pt>
                <c:pt idx="3">
                  <c:v>2833</c:v>
                </c:pt>
                <c:pt idx="4">
                  <c:v>2009</c:v>
                </c:pt>
                <c:pt idx="5" formatCode="General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8-3040-8D32-1996CBD0BF7D}"/>
            </c:ext>
          </c:extLst>
        </c:ser>
        <c:ser>
          <c:idx val="1"/>
          <c:order val="1"/>
          <c:tx>
            <c:strRef>
              <c:f>Total!$AQ$7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196B24"/>
            </a:solidFill>
            <a:ln>
              <a:solidFill>
                <a:srgbClr val="196B24"/>
              </a:solidFill>
            </a:ln>
            <a:effectLst/>
          </c:spPr>
          <c:invertIfNegative val="0"/>
          <c:cat>
            <c:strRef>
              <c:f>Total!$AO$8:$AO$13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Total!$AQ$8:$AQ$13</c:f>
              <c:numCache>
                <c:formatCode>#,##0_)</c:formatCode>
                <c:ptCount val="6"/>
                <c:pt idx="0">
                  <c:v>1843</c:v>
                </c:pt>
                <c:pt idx="1">
                  <c:v>2662</c:v>
                </c:pt>
                <c:pt idx="2">
                  <c:v>1898</c:v>
                </c:pt>
                <c:pt idx="3">
                  <c:v>2017</c:v>
                </c:pt>
                <c:pt idx="4">
                  <c:v>1410</c:v>
                </c:pt>
                <c:pt idx="5" formatCode="General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8-3040-8D32-1996CBD0BF7D}"/>
            </c:ext>
          </c:extLst>
        </c:ser>
        <c:ser>
          <c:idx val="2"/>
          <c:order val="2"/>
          <c:tx>
            <c:strRef>
              <c:f>Total!$AR$7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751C"/>
            </a:solidFill>
            <a:ln>
              <a:solidFill>
                <a:srgbClr val="FF751C"/>
              </a:solidFill>
            </a:ln>
            <a:effectLst/>
          </c:spPr>
          <c:invertIfNegative val="0"/>
          <c:cat>
            <c:strRef>
              <c:f>Total!$AO$8:$AO$13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Total!$AR$8:$AR$13</c:f>
              <c:numCache>
                <c:formatCode>#,##0_)</c:formatCode>
                <c:ptCount val="6"/>
                <c:pt idx="0">
                  <c:v>678</c:v>
                </c:pt>
                <c:pt idx="1">
                  <c:v>1050</c:v>
                </c:pt>
                <c:pt idx="2">
                  <c:v>784</c:v>
                </c:pt>
                <c:pt idx="3">
                  <c:v>816</c:v>
                </c:pt>
                <c:pt idx="4">
                  <c:v>599</c:v>
                </c:pt>
                <c:pt idx="5" formatCode="General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88-3040-8D32-1996CBD0B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159680"/>
        <c:axId val="1461588544"/>
      </c:barChart>
      <c:catAx>
        <c:axId val="146115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88544"/>
        <c:crosses val="autoZero"/>
        <c:auto val="1"/>
        <c:lblAlgn val="ctr"/>
        <c:lblOffset val="100"/>
        <c:noMultiLvlLbl val="0"/>
      </c:catAx>
      <c:valAx>
        <c:axId val="146158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1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Number of Students with Disabilities Expelled in Illinois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Total!$AP$17</c:f>
              <c:strCache>
                <c:ptCount val="1"/>
                <c:pt idx="0">
                  <c:v>Total SWD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Total!$AO$18:$AO$23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Total!$AP$18:$AP$23</c:f>
              <c:numCache>
                <c:formatCode>#,##0_)</c:formatCode>
                <c:ptCount val="6"/>
                <c:pt idx="0">
                  <c:v>462</c:v>
                </c:pt>
                <c:pt idx="1">
                  <c:v>599</c:v>
                </c:pt>
                <c:pt idx="2">
                  <c:v>433</c:v>
                </c:pt>
                <c:pt idx="3">
                  <c:v>708</c:v>
                </c:pt>
                <c:pt idx="4" formatCode="General">
                  <c:v>506</c:v>
                </c:pt>
                <c:pt idx="5" formatCode="#,##0_);\(#,##0\)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4-2E4B-B71F-482F614F3D30}"/>
            </c:ext>
          </c:extLst>
        </c:ser>
        <c:ser>
          <c:idx val="1"/>
          <c:order val="1"/>
          <c:tx>
            <c:strRef>
              <c:f>Total!$AQ$17</c:f>
              <c:strCache>
                <c:ptCount val="1"/>
                <c:pt idx="0">
                  <c:v>Male SWD</c:v>
                </c:pt>
              </c:strCache>
            </c:strRef>
          </c:tx>
          <c:spPr>
            <a:solidFill>
              <a:srgbClr val="196B24"/>
            </a:solidFill>
            <a:ln>
              <a:solidFill>
                <a:srgbClr val="196B24"/>
              </a:solidFill>
            </a:ln>
            <a:effectLst/>
          </c:spPr>
          <c:invertIfNegative val="0"/>
          <c:cat>
            <c:strRef>
              <c:f>Total!$AO$18:$AO$23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Total!$AQ$18:$AQ$23</c:f>
              <c:numCache>
                <c:formatCode>#,##0_)</c:formatCode>
                <c:ptCount val="6"/>
                <c:pt idx="0" formatCode="General">
                  <c:v>374</c:v>
                </c:pt>
                <c:pt idx="1">
                  <c:v>470</c:v>
                </c:pt>
                <c:pt idx="2">
                  <c:v>326</c:v>
                </c:pt>
                <c:pt idx="3">
                  <c:v>555</c:v>
                </c:pt>
                <c:pt idx="4" formatCode="General">
                  <c:v>399</c:v>
                </c:pt>
                <c:pt idx="5" formatCode="#,##0_);\(#,##0\)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4-2E4B-B71F-482F614F3D30}"/>
            </c:ext>
          </c:extLst>
        </c:ser>
        <c:ser>
          <c:idx val="2"/>
          <c:order val="2"/>
          <c:tx>
            <c:strRef>
              <c:f>Total!$AR$17</c:f>
              <c:strCache>
                <c:ptCount val="1"/>
                <c:pt idx="0">
                  <c:v>Female SWD</c:v>
                </c:pt>
              </c:strCache>
            </c:strRef>
          </c:tx>
          <c:spPr>
            <a:solidFill>
              <a:srgbClr val="FF751C"/>
            </a:solidFill>
            <a:ln>
              <a:solidFill>
                <a:srgbClr val="FF751C"/>
              </a:solidFill>
            </a:ln>
            <a:effectLst/>
          </c:spPr>
          <c:invertIfNegative val="0"/>
          <c:cat>
            <c:strRef>
              <c:f>Total!$AO$18:$AO$23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Total!$AR$18:$AR$23</c:f>
              <c:numCache>
                <c:formatCode>#,##0_)</c:formatCode>
                <c:ptCount val="6"/>
                <c:pt idx="0">
                  <c:v>88</c:v>
                </c:pt>
                <c:pt idx="1">
                  <c:v>129</c:v>
                </c:pt>
                <c:pt idx="2">
                  <c:v>107</c:v>
                </c:pt>
                <c:pt idx="3">
                  <c:v>153</c:v>
                </c:pt>
                <c:pt idx="4" formatCode="General">
                  <c:v>107</c:v>
                </c:pt>
                <c:pt idx="5" formatCode="#,##0_);\(#,##0\)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94-2E4B-B71F-482F614F3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009216"/>
        <c:axId val="1460686592"/>
      </c:barChart>
      <c:catAx>
        <c:axId val="146100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686592"/>
        <c:crosses val="autoZero"/>
        <c:auto val="1"/>
        <c:lblAlgn val="ctr"/>
        <c:lblOffset val="100"/>
        <c:noMultiLvlLbl val="0"/>
      </c:catAx>
      <c:valAx>
        <c:axId val="146068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00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Number of Students without Disabilities Expelled in Illinois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Total!$AP$27</c:f>
              <c:strCache>
                <c:ptCount val="1"/>
                <c:pt idx="0">
                  <c:v>Total SWOD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Total!$AO$28:$AO$33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Total!$AP$28:$AP$33</c:f>
              <c:numCache>
                <c:formatCode>#,##0_)</c:formatCode>
                <c:ptCount val="6"/>
                <c:pt idx="0">
                  <c:v>2060</c:v>
                </c:pt>
                <c:pt idx="1">
                  <c:v>3113</c:v>
                </c:pt>
                <c:pt idx="2">
                  <c:v>2249</c:v>
                </c:pt>
                <c:pt idx="3">
                  <c:v>2125</c:v>
                </c:pt>
                <c:pt idx="4" formatCode="General">
                  <c:v>1503</c:v>
                </c:pt>
                <c:pt idx="5" formatCode="#,##0_);\(#,##0\)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3-B54F-A04F-DAA889238252}"/>
            </c:ext>
          </c:extLst>
        </c:ser>
        <c:ser>
          <c:idx val="1"/>
          <c:order val="1"/>
          <c:tx>
            <c:strRef>
              <c:f>Total!$AQ$27</c:f>
              <c:strCache>
                <c:ptCount val="1"/>
                <c:pt idx="0">
                  <c:v>Male SWOD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Total!$AO$28:$AO$33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Total!$AQ$28:$AQ$33</c:f>
              <c:numCache>
                <c:formatCode>#,##0_)</c:formatCode>
                <c:ptCount val="6"/>
                <c:pt idx="0">
                  <c:v>1469</c:v>
                </c:pt>
                <c:pt idx="1">
                  <c:v>2192</c:v>
                </c:pt>
                <c:pt idx="2">
                  <c:v>1572</c:v>
                </c:pt>
                <c:pt idx="3">
                  <c:v>1462</c:v>
                </c:pt>
                <c:pt idx="4" formatCode="General">
                  <c:v>1011</c:v>
                </c:pt>
                <c:pt idx="5" formatCode="#,##0_);\(#,##0\)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3-B54F-A04F-DAA889238252}"/>
            </c:ext>
          </c:extLst>
        </c:ser>
        <c:ser>
          <c:idx val="2"/>
          <c:order val="2"/>
          <c:tx>
            <c:strRef>
              <c:f>Total!$AR$27</c:f>
              <c:strCache>
                <c:ptCount val="1"/>
                <c:pt idx="0">
                  <c:v>Female SWOD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Total!$AO$28:$AO$33</c:f>
              <c:strCache>
                <c:ptCount val="6"/>
                <c:pt idx="0">
                  <c:v>2009-10</c:v>
                </c:pt>
                <c:pt idx="1">
                  <c:v>2011-12</c:v>
                </c:pt>
                <c:pt idx="2">
                  <c:v>2013-14</c:v>
                </c:pt>
                <c:pt idx="3">
                  <c:v>2015-16</c:v>
                </c:pt>
                <c:pt idx="4">
                  <c:v>2017-18</c:v>
                </c:pt>
                <c:pt idx="5">
                  <c:v>2020-21</c:v>
                </c:pt>
              </c:strCache>
            </c:strRef>
          </c:cat>
          <c:val>
            <c:numRef>
              <c:f>Total!$AR$28:$AR$33</c:f>
              <c:numCache>
                <c:formatCode>#,##0_)</c:formatCode>
                <c:ptCount val="6"/>
                <c:pt idx="0">
                  <c:v>590</c:v>
                </c:pt>
                <c:pt idx="1">
                  <c:v>921</c:v>
                </c:pt>
                <c:pt idx="2">
                  <c:v>677</c:v>
                </c:pt>
                <c:pt idx="3">
                  <c:v>663</c:v>
                </c:pt>
                <c:pt idx="4" formatCode="General">
                  <c:v>492</c:v>
                </c:pt>
                <c:pt idx="5" formatCode="#,##0_);\(#,##0\)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D3-B54F-A04F-DAA889238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15392"/>
        <c:axId val="68517104"/>
      </c:barChart>
      <c:catAx>
        <c:axId val="6851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7104"/>
        <c:crosses val="autoZero"/>
        <c:auto val="1"/>
        <c:lblAlgn val="ctr"/>
        <c:lblOffset val="100"/>
        <c:noMultiLvlLbl val="0"/>
      </c:catAx>
      <c:valAx>
        <c:axId val="685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Percdentage of Students Expelled in Illinois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Percdentage of Students Expelled in Illinois</a:t>
          </a:r>
        </a:p>
      </cx:txPr>
    </cx:title>
    <cx:plotArea>
      <cx:plotAreaRegion>
        <cx:series layoutId="funnel" uniqueId="{7920C5EB-05FD-FA48-AA14-C6DA298D9E1B}">
          <cx:tx>
            <cx:txData>
              <cx:f>_xlchart.v2.1</cx:f>
              <cx:v>% of Students Expelled in IL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8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7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6.xml"/><Relationship Id="rId5" Type="http://schemas.openxmlformats.org/officeDocument/2006/relationships/chart" Target="../charts/chart21.xml"/><Relationship Id="rId10" Type="http://schemas.microsoft.com/office/2014/relationships/chartEx" Target="../charts/chartEx1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806450</xdr:colOff>
      <xdr:row>23</xdr:row>
      <xdr:rowOff>31750</xdr:rowOff>
    </xdr:from>
    <xdr:to>
      <xdr:col>20</xdr:col>
      <xdr:colOff>304800</xdr:colOff>
      <xdr:row>44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521E6-8028-6889-3AE2-5543CF00E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298450</xdr:colOff>
      <xdr:row>53</xdr:row>
      <xdr:rowOff>158750</xdr:rowOff>
    </xdr:from>
    <xdr:to>
      <xdr:col>14</xdr:col>
      <xdr:colOff>482600</xdr:colOff>
      <xdr:row>71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5A6AD9-EB99-4B01-EBA0-13253C7F1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654050</xdr:colOff>
      <xdr:row>99</xdr:row>
      <xdr:rowOff>196850</xdr:rowOff>
    </xdr:from>
    <xdr:to>
      <xdr:col>12</xdr:col>
      <xdr:colOff>495300</xdr:colOff>
      <xdr:row>118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A40A7B-9C9F-D16C-FF0A-91D631F8B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806450</xdr:colOff>
      <xdr:row>78</xdr:row>
      <xdr:rowOff>158750</xdr:rowOff>
    </xdr:from>
    <xdr:to>
      <xdr:col>14</xdr:col>
      <xdr:colOff>774700</xdr:colOff>
      <xdr:row>94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C16CE9-646B-9101-96D0-3A7E0A75D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806450</xdr:colOff>
      <xdr:row>110</xdr:row>
      <xdr:rowOff>44450</xdr:rowOff>
    </xdr:from>
    <xdr:to>
      <xdr:col>51</xdr:col>
      <xdr:colOff>812800</xdr:colOff>
      <xdr:row>126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97AC48-AA43-AE90-A60E-A6A6F2A60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692150</xdr:colOff>
      <xdr:row>139</xdr:row>
      <xdr:rowOff>196850</xdr:rowOff>
    </xdr:from>
    <xdr:to>
      <xdr:col>16</xdr:col>
      <xdr:colOff>419100</xdr:colOff>
      <xdr:row>163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ABCD6E-6C16-51A6-2301-1766B03FE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196850</xdr:colOff>
      <xdr:row>199</xdr:row>
      <xdr:rowOff>196850</xdr:rowOff>
    </xdr:from>
    <xdr:to>
      <xdr:col>8</xdr:col>
      <xdr:colOff>774700</xdr:colOff>
      <xdr:row>221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8DF04A-FE66-3DA5-97FC-70A670680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795192</xdr:colOff>
      <xdr:row>24</xdr:row>
      <xdr:rowOff>172604</xdr:rowOff>
    </xdr:from>
    <xdr:to>
      <xdr:col>35</xdr:col>
      <xdr:colOff>764887</xdr:colOff>
      <xdr:row>44</xdr:row>
      <xdr:rowOff>28864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C2F7C7-D33D-D52D-2530-9CD19661F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77932</xdr:colOff>
      <xdr:row>13</xdr:row>
      <xdr:rowOff>31174</xdr:rowOff>
    </xdr:from>
    <xdr:to>
      <xdr:col>37</xdr:col>
      <xdr:colOff>60613</xdr:colOff>
      <xdr:row>27</xdr:row>
      <xdr:rowOff>46760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580158</xdr:colOff>
      <xdr:row>13</xdr:row>
      <xdr:rowOff>13855</xdr:rowOff>
    </xdr:from>
    <xdr:to>
      <xdr:col>31</xdr:col>
      <xdr:colOff>562840</xdr:colOff>
      <xdr:row>27</xdr:row>
      <xdr:rowOff>29441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190500</xdr:colOff>
      <xdr:row>222</xdr:row>
      <xdr:rowOff>83609</xdr:rowOff>
    </xdr:from>
    <xdr:to>
      <xdr:col>13</xdr:col>
      <xdr:colOff>635000</xdr:colOff>
      <xdr:row>235</xdr:row>
      <xdr:rowOff>170393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4F15889-7885-B1FC-1B9B-F09928F11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806450</xdr:colOff>
      <xdr:row>14</xdr:row>
      <xdr:rowOff>19050</xdr:rowOff>
    </xdr:from>
    <xdr:to>
      <xdr:col>8</xdr:col>
      <xdr:colOff>1524000</xdr:colOff>
      <xdr:row>34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464B9-39B9-D0F3-0C84-184F4B9EB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69850</xdr:colOff>
      <xdr:row>41</xdr:row>
      <xdr:rowOff>57150</xdr:rowOff>
    </xdr:from>
    <xdr:to>
      <xdr:col>10</xdr:col>
      <xdr:colOff>711200</xdr:colOff>
      <xdr:row>64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317BCF-0AAF-6479-A6ED-63908A3F7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501650</xdr:colOff>
      <xdr:row>88</xdr:row>
      <xdr:rowOff>82550</xdr:rowOff>
    </xdr:from>
    <xdr:to>
      <xdr:col>8</xdr:col>
      <xdr:colOff>590550</xdr:colOff>
      <xdr:row>101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17021B-3560-1590-930F-AE6D5F8E2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438150</xdr:colOff>
      <xdr:row>104</xdr:row>
      <xdr:rowOff>6350</xdr:rowOff>
    </xdr:from>
    <xdr:to>
      <xdr:col>7</xdr:col>
      <xdr:colOff>1504950</xdr:colOff>
      <xdr:row>117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366D3A-02BD-79B0-2694-B0472AE9C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57150</xdr:colOff>
      <xdr:row>20</xdr:row>
      <xdr:rowOff>171450</xdr:rowOff>
    </xdr:from>
    <xdr:to>
      <xdr:col>27</xdr:col>
      <xdr:colOff>393700</xdr:colOff>
      <xdr:row>38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F69A6B-071D-4F61-F9A7-58A546793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806450</xdr:colOff>
      <xdr:row>28</xdr:row>
      <xdr:rowOff>31750</xdr:rowOff>
    </xdr:from>
    <xdr:to>
      <xdr:col>20</xdr:col>
      <xdr:colOff>304800</xdr:colOff>
      <xdr:row>49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E521E6-8028-6889-3AE2-5543CF00E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298450</xdr:colOff>
      <xdr:row>58</xdr:row>
      <xdr:rowOff>158750</xdr:rowOff>
    </xdr:from>
    <xdr:to>
      <xdr:col>14</xdr:col>
      <xdr:colOff>482600</xdr:colOff>
      <xdr:row>76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A5A6AD9-EB99-4B01-EBA0-13253C7F1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654050</xdr:colOff>
      <xdr:row>104</xdr:row>
      <xdr:rowOff>196850</xdr:rowOff>
    </xdr:from>
    <xdr:to>
      <xdr:col>12</xdr:col>
      <xdr:colOff>495300</xdr:colOff>
      <xdr:row>123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A40A7B-9C9F-D16C-FF0A-91D631F8B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806450</xdr:colOff>
      <xdr:row>83</xdr:row>
      <xdr:rowOff>158750</xdr:rowOff>
    </xdr:from>
    <xdr:to>
      <xdr:col>14</xdr:col>
      <xdr:colOff>774700</xdr:colOff>
      <xdr:row>99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C16CE9-646B-9101-96D0-3A7E0A75D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806450</xdr:colOff>
      <xdr:row>115</xdr:row>
      <xdr:rowOff>44450</xdr:rowOff>
    </xdr:from>
    <xdr:to>
      <xdr:col>51</xdr:col>
      <xdr:colOff>812800</xdr:colOff>
      <xdr:row>131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97AC48-AA43-AE90-A60E-A6A6F2A60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692150</xdr:colOff>
      <xdr:row>144</xdr:row>
      <xdr:rowOff>196850</xdr:rowOff>
    </xdr:from>
    <xdr:to>
      <xdr:col>16</xdr:col>
      <xdr:colOff>419100</xdr:colOff>
      <xdr:row>168</xdr:row>
      <xdr:rowOff>50800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8ABCD6E-6C16-51A6-2301-1766B03FE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196850</xdr:colOff>
      <xdr:row>204</xdr:row>
      <xdr:rowOff>196850</xdr:rowOff>
    </xdr:from>
    <xdr:to>
      <xdr:col>8</xdr:col>
      <xdr:colOff>774700</xdr:colOff>
      <xdr:row>226</xdr:row>
      <xdr:rowOff>50800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48DF04A-FE66-3DA5-97FC-70A670680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780761</xdr:colOff>
      <xdr:row>14</xdr:row>
      <xdr:rowOff>57150</xdr:rowOff>
    </xdr:from>
    <xdr:to>
      <xdr:col>38</xdr:col>
      <xdr:colOff>750455</xdr:colOff>
      <xdr:row>32</xdr:row>
      <xdr:rowOff>259774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2C2F7C7-D33D-D52D-2530-9CD19661F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519544</xdr:colOff>
      <xdr:row>33</xdr:row>
      <xdr:rowOff>28863</xdr:rowOff>
    </xdr:from>
    <xdr:to>
      <xdr:col>35</xdr:col>
      <xdr:colOff>389659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2F7C7-D33D-D52D-2530-9CD19661F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47</xdr:col>
      <xdr:colOff>405534</xdr:colOff>
      <xdr:row>14</xdr:row>
      <xdr:rowOff>28286</xdr:rowOff>
    </xdr:from>
    <xdr:to>
      <xdr:col>53</xdr:col>
      <xdr:colOff>41852</xdr:colOff>
      <xdr:row>26</xdr:row>
      <xdr:rowOff>58304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8DCBD6D2-E2B7-5284-69F6-3D091A0A04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04034" y="4016086"/>
              <a:ext cx="4589318" cy="27478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49</xdr:col>
      <xdr:colOff>636443</xdr:colOff>
      <xdr:row>4</xdr:row>
      <xdr:rowOff>42718</xdr:rowOff>
    </xdr:from>
    <xdr:to>
      <xdr:col>55</xdr:col>
      <xdr:colOff>272761</xdr:colOff>
      <xdr:row>14</xdr:row>
      <xdr:rowOff>577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CE9E7D4-CDC6-F2C5-2905-FAE3EA35C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46</xdr:col>
      <xdr:colOff>59171</xdr:colOff>
      <xdr:row>27</xdr:row>
      <xdr:rowOff>57150</xdr:rowOff>
    </xdr:from>
    <xdr:to>
      <xdr:col>51</xdr:col>
      <xdr:colOff>518103</xdr:colOff>
      <xdr:row>39</xdr:row>
      <xdr:rowOff>130464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70CA4C7-4988-922F-9F03-0A3904615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737465</xdr:colOff>
      <xdr:row>33</xdr:row>
      <xdr:rowOff>100445</xdr:rowOff>
    </xdr:from>
    <xdr:to>
      <xdr:col>45</xdr:col>
      <xdr:colOff>373783</xdr:colOff>
      <xdr:row>46</xdr:row>
      <xdr:rowOff>188191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7B0C006-4C61-00C6-6DFB-051BA4D6D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1"/>
  <sheetViews>
    <sheetView topLeftCell="H111" zoomScale="120" zoomScaleNormal="120" workbookViewId="0">
      <selection activeCell="E267" sqref="E267"/>
    </sheetView>
  </sheetViews>
  <sheetFormatPr baseColWidth="10" defaultColWidth="10.83203125" defaultRowHeight="16"/>
  <sheetData>
    <row r="1" spans="1:40" ht="17" thickBot="1"/>
    <row r="2" spans="1:40" ht="35" customHeight="1">
      <c r="R2" s="266"/>
      <c r="S2" s="267"/>
    </row>
    <row r="3" spans="1:40" ht="17" thickBot="1">
      <c r="R3" s="268"/>
      <c r="S3" s="269"/>
    </row>
    <row r="4" spans="1:40" s="2" customFormat="1" ht="25.25" customHeight="1">
      <c r="A4" s="12" t="s">
        <v>18</v>
      </c>
      <c r="B4" s="259" t="s">
        <v>0</v>
      </c>
      <c r="C4" s="261" t="s">
        <v>1</v>
      </c>
      <c r="D4" s="263" t="s">
        <v>2</v>
      </c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5"/>
      <c r="R4" s="243" t="s">
        <v>37</v>
      </c>
      <c r="S4" s="244"/>
      <c r="T4" s="243" t="s">
        <v>4</v>
      </c>
      <c r="U4" s="244"/>
      <c r="V4" s="243" t="s">
        <v>5</v>
      </c>
      <c r="W4" s="244"/>
      <c r="X4" s="252" t="s">
        <v>6</v>
      </c>
      <c r="Y4" s="254" t="s">
        <v>7</v>
      </c>
    </row>
    <row r="5" spans="1:40" s="2" customFormat="1" ht="25.25" customHeight="1">
      <c r="A5" s="1"/>
      <c r="B5" s="260"/>
      <c r="C5" s="262"/>
      <c r="D5" s="256" t="s">
        <v>8</v>
      </c>
      <c r="E5" s="248"/>
      <c r="F5" s="257" t="s">
        <v>9</v>
      </c>
      <c r="G5" s="248"/>
      <c r="H5" s="247" t="s">
        <v>10</v>
      </c>
      <c r="I5" s="248"/>
      <c r="J5" s="247" t="s">
        <v>11</v>
      </c>
      <c r="K5" s="248"/>
      <c r="L5" s="247" t="s">
        <v>12</v>
      </c>
      <c r="M5" s="248"/>
      <c r="N5" s="247" t="s">
        <v>13</v>
      </c>
      <c r="O5" s="248"/>
      <c r="P5" s="247" t="s">
        <v>14</v>
      </c>
      <c r="Q5" s="258"/>
      <c r="R5" s="245"/>
      <c r="S5" s="246"/>
      <c r="T5" s="245"/>
      <c r="U5" s="246"/>
      <c r="V5" s="245"/>
      <c r="W5" s="246"/>
      <c r="X5" s="253"/>
      <c r="Y5" s="255"/>
      <c r="Z5" s="225"/>
      <c r="AA5" s="225"/>
      <c r="AB5" s="225" t="s">
        <v>105</v>
      </c>
      <c r="AC5" s="225" t="s">
        <v>106</v>
      </c>
      <c r="AD5" s="225"/>
      <c r="AE5" s="225"/>
      <c r="AF5" s="225" t="s">
        <v>107</v>
      </c>
      <c r="AG5" s="225" t="s">
        <v>9</v>
      </c>
      <c r="AH5" s="225" t="s">
        <v>102</v>
      </c>
      <c r="AI5" s="225" t="s">
        <v>41</v>
      </c>
      <c r="AJ5" s="225" t="s">
        <v>108</v>
      </c>
      <c r="AK5" s="225" t="s">
        <v>109</v>
      </c>
      <c r="AL5" s="225" t="s">
        <v>110</v>
      </c>
      <c r="AM5" s="225"/>
      <c r="AN5" s="225"/>
    </row>
    <row r="6" spans="1:40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  <c r="Z6" s="225"/>
      <c r="AA6" s="225" t="s">
        <v>40</v>
      </c>
      <c r="AB6" s="225">
        <v>0.1</v>
      </c>
      <c r="AC6" s="225">
        <v>0.1</v>
      </c>
      <c r="AD6" s="225"/>
      <c r="AE6" s="225" t="s">
        <v>105</v>
      </c>
      <c r="AF6" s="225">
        <v>0.1</v>
      </c>
      <c r="AG6" s="225">
        <v>0.8</v>
      </c>
      <c r="AH6" s="225">
        <v>26.2</v>
      </c>
      <c r="AI6" s="225">
        <v>42.4</v>
      </c>
      <c r="AJ6" s="225">
        <v>34.4</v>
      </c>
      <c r="AK6" s="225">
        <v>0.1</v>
      </c>
      <c r="AL6" s="225">
        <v>4.9000000000000004</v>
      </c>
      <c r="AM6" s="225"/>
      <c r="AN6" s="225"/>
    </row>
    <row r="7" spans="1:40" s="210" customFormat="1">
      <c r="A7" s="210" t="s">
        <v>19</v>
      </c>
      <c r="B7" s="210" t="s">
        <v>36</v>
      </c>
      <c r="C7" s="211">
        <v>2009</v>
      </c>
      <c r="D7" s="211">
        <v>3</v>
      </c>
      <c r="E7" s="212">
        <v>0.15340000000000001</v>
      </c>
      <c r="F7" s="213">
        <v>15</v>
      </c>
      <c r="G7" s="212">
        <v>0.76690000000000003</v>
      </c>
      <c r="H7" s="213">
        <v>342</v>
      </c>
      <c r="I7" s="212">
        <v>17.4847</v>
      </c>
      <c r="J7" s="213">
        <v>829</v>
      </c>
      <c r="K7" s="212">
        <v>42.382399999999997</v>
      </c>
      <c r="L7" s="214">
        <v>672</v>
      </c>
      <c r="M7" s="212">
        <v>34.355800000000002</v>
      </c>
      <c r="N7" s="213">
        <v>0</v>
      </c>
      <c r="O7" s="212">
        <v>0</v>
      </c>
      <c r="P7" s="215">
        <v>95</v>
      </c>
      <c r="Q7" s="216">
        <v>4.8569000000000004</v>
      </c>
      <c r="R7" s="211">
        <v>1956</v>
      </c>
      <c r="S7" s="217">
        <v>97.4</v>
      </c>
      <c r="T7" s="218">
        <v>53</v>
      </c>
      <c r="U7" s="216">
        <v>2.6381000000000001</v>
      </c>
      <c r="V7" s="219">
        <v>75</v>
      </c>
      <c r="W7" s="220">
        <v>3.7332000000000001</v>
      </c>
      <c r="X7" s="221">
        <v>4145</v>
      </c>
      <c r="Y7" s="222">
        <v>100</v>
      </c>
      <c r="AA7" s="210" t="s">
        <v>9</v>
      </c>
      <c r="AB7" s="210">
        <v>0.8</v>
      </c>
      <c r="AC7" s="210">
        <v>5.0999999999999996</v>
      </c>
      <c r="AE7" s="210" t="s">
        <v>106</v>
      </c>
      <c r="AF7" s="210">
        <v>0.1</v>
      </c>
      <c r="AG7" s="210">
        <v>5.0999999999999996</v>
      </c>
      <c r="AH7" s="210">
        <v>17.5</v>
      </c>
      <c r="AI7" s="210">
        <v>16.8</v>
      </c>
      <c r="AJ7" s="210">
        <v>48</v>
      </c>
      <c r="AK7" s="210">
        <v>0.1</v>
      </c>
      <c r="AL7" s="210">
        <v>3.5</v>
      </c>
    </row>
    <row r="8" spans="1:40" s="210" customFormat="1">
      <c r="A8" s="210" t="s">
        <v>101</v>
      </c>
      <c r="C8" s="223"/>
      <c r="D8" s="224"/>
      <c r="E8" s="224">
        <v>0.3</v>
      </c>
      <c r="F8" s="224"/>
      <c r="G8" s="224">
        <v>5.0999999999999996</v>
      </c>
      <c r="H8" s="224"/>
      <c r="I8" s="224">
        <v>26.2</v>
      </c>
      <c r="J8" s="224"/>
      <c r="K8" s="224">
        <v>16.8</v>
      </c>
      <c r="M8" s="224">
        <v>48</v>
      </c>
      <c r="N8" s="224"/>
      <c r="O8" s="224">
        <v>0.1</v>
      </c>
      <c r="P8" s="224"/>
      <c r="Q8" s="224">
        <v>3.5</v>
      </c>
      <c r="R8" s="224"/>
      <c r="S8" s="224"/>
      <c r="T8" s="224"/>
      <c r="U8" s="224"/>
      <c r="V8" s="224"/>
      <c r="W8" s="224"/>
      <c r="X8" s="224"/>
      <c r="AA8" s="210" t="s">
        <v>102</v>
      </c>
      <c r="AB8" s="210">
        <v>26.2</v>
      </c>
      <c r="AC8" s="210">
        <v>17.5</v>
      </c>
    </row>
    <row r="9" spans="1:40">
      <c r="C9" s="13"/>
      <c r="T9" s="44"/>
      <c r="U9" s="44"/>
      <c r="V9" s="44"/>
      <c r="W9" s="44"/>
      <c r="X9" s="44"/>
      <c r="Z9" s="210"/>
      <c r="AA9" s="225" t="s">
        <v>41</v>
      </c>
      <c r="AB9" s="210">
        <v>42.4</v>
      </c>
      <c r="AC9" s="210">
        <v>16.8</v>
      </c>
      <c r="AD9" s="210"/>
      <c r="AE9" s="210"/>
      <c r="AF9" s="210"/>
      <c r="AG9" s="210"/>
      <c r="AH9" s="210"/>
      <c r="AI9" s="210"/>
      <c r="AJ9" s="210"/>
      <c r="AK9" s="210"/>
      <c r="AL9" s="210"/>
      <c r="AM9" s="210"/>
      <c r="AN9" s="210"/>
    </row>
    <row r="10" spans="1:40">
      <c r="C10" s="44"/>
      <c r="E10" s="57"/>
      <c r="F10" s="56"/>
      <c r="G10" s="57"/>
      <c r="H10" s="56"/>
      <c r="I10" s="181"/>
      <c r="J10" s="56"/>
      <c r="K10" s="57"/>
      <c r="L10" s="181"/>
      <c r="N10" s="57"/>
      <c r="O10" s="57"/>
      <c r="P10" s="56"/>
      <c r="Q10" s="57"/>
      <c r="R10" s="56"/>
      <c r="S10" s="57"/>
      <c r="V10" s="44"/>
      <c r="W10" s="44"/>
      <c r="X10" s="44"/>
      <c r="Z10" s="210"/>
      <c r="AA10" s="225" t="s">
        <v>12</v>
      </c>
      <c r="AB10" s="210">
        <v>34.4</v>
      </c>
      <c r="AC10" s="210">
        <v>48</v>
      </c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</row>
    <row r="11" spans="1:40" ht="17" thickBot="1">
      <c r="C11" s="44"/>
      <c r="D11" s="56"/>
      <c r="E11" s="57"/>
      <c r="F11" s="56"/>
      <c r="G11" s="57"/>
      <c r="H11" s="56"/>
      <c r="I11" s="57"/>
      <c r="J11" s="56"/>
      <c r="K11" s="57"/>
      <c r="L11" s="56"/>
      <c r="M11" s="57"/>
      <c r="N11" s="56"/>
      <c r="O11" s="57"/>
      <c r="P11" s="56"/>
      <c r="Q11" s="57"/>
      <c r="R11" s="56"/>
      <c r="S11" s="57"/>
      <c r="V11" s="44"/>
      <c r="W11" s="44"/>
      <c r="X11" s="44"/>
      <c r="Z11" s="210"/>
      <c r="AA11" s="225" t="s">
        <v>103</v>
      </c>
      <c r="AB11" s="210">
        <v>0.1</v>
      </c>
      <c r="AC11" s="210">
        <v>0.1</v>
      </c>
      <c r="AD11" s="210"/>
      <c r="AE11" s="210"/>
      <c r="AF11" s="210"/>
      <c r="AG11" s="210"/>
      <c r="AH11" s="210"/>
      <c r="AI11" s="210"/>
      <c r="AJ11" s="210"/>
      <c r="AK11" s="210"/>
      <c r="AL11" s="210"/>
      <c r="AM11" s="210"/>
      <c r="AN11" s="210"/>
    </row>
    <row r="12" spans="1:40" s="2" customFormat="1" ht="25.25" customHeight="1">
      <c r="A12" s="12" t="s">
        <v>18</v>
      </c>
      <c r="B12" s="259" t="s">
        <v>0</v>
      </c>
      <c r="C12" s="261" t="s">
        <v>1</v>
      </c>
      <c r="D12" s="263" t="s">
        <v>2</v>
      </c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5"/>
      <c r="R12" s="243" t="s">
        <v>37</v>
      </c>
      <c r="S12" s="244"/>
      <c r="T12" s="243" t="s">
        <v>4</v>
      </c>
      <c r="U12" s="244"/>
      <c r="V12" s="243" t="s">
        <v>5</v>
      </c>
      <c r="W12" s="244"/>
      <c r="X12" s="252" t="s">
        <v>6</v>
      </c>
      <c r="Y12" s="254" t="s">
        <v>7</v>
      </c>
      <c r="Z12" s="225"/>
      <c r="AA12" s="225" t="s">
        <v>104</v>
      </c>
      <c r="AB12" s="225">
        <v>4.9000000000000004</v>
      </c>
      <c r="AC12" s="225">
        <v>3.5</v>
      </c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</row>
    <row r="13" spans="1:40" s="2" customFormat="1" ht="25.25" customHeight="1">
      <c r="A13" s="1"/>
      <c r="B13" s="260"/>
      <c r="C13" s="262"/>
      <c r="D13" s="256" t="s">
        <v>8</v>
      </c>
      <c r="E13" s="248"/>
      <c r="F13" s="257" t="s">
        <v>9</v>
      </c>
      <c r="G13" s="248"/>
      <c r="H13" s="247" t="s">
        <v>10</v>
      </c>
      <c r="I13" s="248"/>
      <c r="J13" s="247" t="s">
        <v>11</v>
      </c>
      <c r="K13" s="248"/>
      <c r="L13" s="247" t="s">
        <v>12</v>
      </c>
      <c r="M13" s="248"/>
      <c r="N13" s="247" t="s">
        <v>13</v>
      </c>
      <c r="O13" s="248"/>
      <c r="P13" s="247" t="s">
        <v>14</v>
      </c>
      <c r="Q13" s="258"/>
      <c r="R13" s="245"/>
      <c r="S13" s="246"/>
      <c r="T13" s="245"/>
      <c r="U13" s="246"/>
      <c r="V13" s="245"/>
      <c r="W13" s="246"/>
      <c r="X13" s="253"/>
      <c r="Y13" s="255"/>
    </row>
    <row r="14" spans="1:40" s="2" customFormat="1" ht="15" customHeight="1" thickBot="1">
      <c r="A14" s="1"/>
      <c r="B14" s="3"/>
      <c r="C14" s="4"/>
      <c r="D14" s="5" t="s">
        <v>15</v>
      </c>
      <c r="E14" s="6" t="s">
        <v>16</v>
      </c>
      <c r="F14" s="7" t="s">
        <v>15</v>
      </c>
      <c r="G14" s="6" t="s">
        <v>16</v>
      </c>
      <c r="H14" s="7" t="s">
        <v>15</v>
      </c>
      <c r="I14" s="6" t="s">
        <v>16</v>
      </c>
      <c r="J14" s="7" t="s">
        <v>15</v>
      </c>
      <c r="K14" s="6" t="s">
        <v>16</v>
      </c>
      <c r="L14" s="7" t="s">
        <v>15</v>
      </c>
      <c r="M14" s="6" t="s">
        <v>16</v>
      </c>
      <c r="N14" s="7" t="s">
        <v>15</v>
      </c>
      <c r="O14" s="6" t="s">
        <v>16</v>
      </c>
      <c r="P14" s="7" t="s">
        <v>15</v>
      </c>
      <c r="Q14" s="8" t="s">
        <v>16</v>
      </c>
      <c r="R14" s="5" t="s">
        <v>15</v>
      </c>
      <c r="S14" s="9" t="s">
        <v>17</v>
      </c>
      <c r="T14" s="5" t="s">
        <v>15</v>
      </c>
      <c r="U14" s="9" t="s">
        <v>17</v>
      </c>
      <c r="V14" s="7" t="s">
        <v>15</v>
      </c>
      <c r="W14" s="9" t="s">
        <v>17</v>
      </c>
      <c r="X14" s="10"/>
      <c r="Y14" s="11"/>
    </row>
    <row r="15" spans="1:40">
      <c r="A15" t="s">
        <v>33</v>
      </c>
      <c r="B15" t="s">
        <v>38</v>
      </c>
      <c r="C15" s="65">
        <v>125342</v>
      </c>
      <c r="D15" s="54">
        <v>2426</v>
      </c>
      <c r="E15">
        <v>1.9</v>
      </c>
      <c r="F15" s="54">
        <v>6861</v>
      </c>
      <c r="G15">
        <v>5.5</v>
      </c>
      <c r="H15" s="54">
        <v>26314</v>
      </c>
      <c r="I15">
        <v>21</v>
      </c>
      <c r="J15" s="54">
        <v>46944</v>
      </c>
      <c r="K15">
        <v>37.5</v>
      </c>
      <c r="L15" s="54">
        <v>56583</v>
      </c>
      <c r="M15">
        <v>45.2</v>
      </c>
      <c r="N15" t="s">
        <v>35</v>
      </c>
      <c r="O15" s="109" t="s">
        <v>35</v>
      </c>
      <c r="P15" s="91" t="s">
        <v>35</v>
      </c>
      <c r="Q15" s="85" t="s">
        <v>35</v>
      </c>
      <c r="R15">
        <v>124638</v>
      </c>
      <c r="S15">
        <v>99.4</v>
      </c>
      <c r="T15" s="65">
        <v>704</v>
      </c>
      <c r="U15">
        <v>0.6</v>
      </c>
      <c r="V15">
        <v>7161</v>
      </c>
      <c r="W15">
        <v>5.7</v>
      </c>
    </row>
    <row r="16" spans="1:40">
      <c r="A16" t="s">
        <v>30</v>
      </c>
      <c r="B16" t="s">
        <v>38</v>
      </c>
      <c r="C16" s="13">
        <v>111018</v>
      </c>
      <c r="D16" s="13">
        <v>2443</v>
      </c>
      <c r="E16" s="15">
        <v>2.2299301720596998</v>
      </c>
      <c r="F16" s="13">
        <v>1096</v>
      </c>
      <c r="G16" s="15">
        <v>1.0004107525900201</v>
      </c>
      <c r="H16" s="13">
        <v>23696</v>
      </c>
      <c r="I16" s="15">
        <v>21.629318607092301</v>
      </c>
      <c r="J16" s="13">
        <v>39443</v>
      </c>
      <c r="K16" s="15">
        <v>36.002920907306802</v>
      </c>
      <c r="L16" s="13">
        <v>39766</v>
      </c>
      <c r="M16" s="15">
        <v>36.297749988590198</v>
      </c>
      <c r="N16" s="13">
        <v>266</v>
      </c>
      <c r="O16" s="15">
        <v>0.242800419880425</v>
      </c>
      <c r="P16" s="13">
        <v>2845</v>
      </c>
      <c r="Q16" s="15">
        <v>2.5968691524804899</v>
      </c>
      <c r="R16" s="13">
        <v>109555</v>
      </c>
      <c r="S16" s="15">
        <v>98.682195679979799</v>
      </c>
      <c r="T16" s="13">
        <v>1463</v>
      </c>
      <c r="U16" s="15">
        <v>1.3178043200201801</v>
      </c>
      <c r="V16" s="13">
        <v>6025</v>
      </c>
      <c r="W16" s="15">
        <v>5.4270478661118</v>
      </c>
      <c r="X16" s="163">
        <v>95635</v>
      </c>
      <c r="Y16" s="45">
        <v>99.872431641135606</v>
      </c>
    </row>
    <row r="17" spans="1:26" ht="17" thickBot="1">
      <c r="A17" t="s">
        <v>29</v>
      </c>
      <c r="B17" t="s">
        <v>38</v>
      </c>
      <c r="C17" s="31">
        <v>111215</v>
      </c>
      <c r="D17" s="31">
        <v>1944</v>
      </c>
      <c r="E17" s="33">
        <v>1.8</v>
      </c>
      <c r="F17" s="31">
        <v>790</v>
      </c>
      <c r="G17" s="33">
        <v>0.7</v>
      </c>
      <c r="H17" s="31">
        <v>18271</v>
      </c>
      <c r="I17" s="33">
        <v>16.8</v>
      </c>
      <c r="J17" s="31">
        <v>33557</v>
      </c>
      <c r="K17" s="33">
        <v>30.9</v>
      </c>
      <c r="L17" s="31">
        <v>49144</v>
      </c>
      <c r="M17" s="33">
        <v>45.3</v>
      </c>
      <c r="N17" s="31">
        <v>241</v>
      </c>
      <c r="O17" s="33">
        <v>0.2</v>
      </c>
      <c r="P17" s="31">
        <v>4613</v>
      </c>
      <c r="Q17" s="33">
        <v>4.2</v>
      </c>
      <c r="R17" s="31">
        <v>108560</v>
      </c>
      <c r="S17" s="33">
        <v>97.6</v>
      </c>
      <c r="T17" s="31">
        <v>2655</v>
      </c>
      <c r="U17" s="33">
        <v>2.4</v>
      </c>
      <c r="V17" s="31">
        <v>5490</v>
      </c>
      <c r="W17" s="33">
        <v>4.9000000000000004</v>
      </c>
      <c r="X17" s="161">
        <v>95507</v>
      </c>
      <c r="Y17" s="143">
        <v>99.7</v>
      </c>
    </row>
    <row r="18" spans="1:26" ht="17" thickBot="1">
      <c r="A18" t="s">
        <v>20</v>
      </c>
      <c r="B18" t="s">
        <v>38</v>
      </c>
      <c r="C18" s="16">
        <v>101161</v>
      </c>
      <c r="D18" s="66">
        <v>1586</v>
      </c>
      <c r="E18" s="18">
        <v>1.6165</v>
      </c>
      <c r="F18" s="19">
        <v>957</v>
      </c>
      <c r="G18" s="18">
        <v>0.97540000000000004</v>
      </c>
      <c r="H18" s="19">
        <v>20887</v>
      </c>
      <c r="I18" s="18">
        <v>21.288900000000002</v>
      </c>
      <c r="J18" s="20">
        <v>34110</v>
      </c>
      <c r="K18" s="18">
        <v>34.766399999999997</v>
      </c>
      <c r="L18" s="67">
        <v>36656</v>
      </c>
      <c r="M18" s="18">
        <v>37.361400000000003</v>
      </c>
      <c r="N18" s="20">
        <v>313</v>
      </c>
      <c r="O18" s="18">
        <v>0.31900000000000001</v>
      </c>
      <c r="P18" s="67">
        <v>3603</v>
      </c>
      <c r="Q18" s="22">
        <v>3.6723300000000001</v>
      </c>
      <c r="R18" s="66">
        <v>98112</v>
      </c>
      <c r="S18" s="22">
        <v>97</v>
      </c>
      <c r="T18" s="24">
        <v>3049</v>
      </c>
      <c r="U18" s="22">
        <v>3.0140099999999999</v>
      </c>
      <c r="V18" s="46">
        <v>5830</v>
      </c>
      <c r="W18" s="23">
        <v>5.7630999999999997</v>
      </c>
      <c r="X18" s="25">
        <v>96360</v>
      </c>
      <c r="Y18" s="26">
        <v>99.984999999999999</v>
      </c>
    </row>
    <row r="19" spans="1:26" ht="17" thickBot="1">
      <c r="A19" t="s">
        <v>19</v>
      </c>
      <c r="B19" t="s">
        <v>38</v>
      </c>
      <c r="C19" s="16">
        <v>101652</v>
      </c>
      <c r="D19" s="66">
        <v>1223</v>
      </c>
      <c r="E19" s="18">
        <v>1.2464999999999999</v>
      </c>
      <c r="F19" s="19">
        <v>790</v>
      </c>
      <c r="G19" s="18">
        <v>0.80520000000000003</v>
      </c>
      <c r="H19" s="19">
        <v>20990</v>
      </c>
      <c r="I19" s="18">
        <v>21.392800000000001</v>
      </c>
      <c r="J19" s="20">
        <v>36934</v>
      </c>
      <c r="K19" s="18">
        <v>37.642800000000001</v>
      </c>
      <c r="L19" s="67">
        <v>34187</v>
      </c>
      <c r="M19" s="18">
        <v>34.8431</v>
      </c>
      <c r="N19" s="20">
        <v>234</v>
      </c>
      <c r="O19" s="18">
        <v>0.23849999999999999</v>
      </c>
      <c r="P19" s="67">
        <v>3759</v>
      </c>
      <c r="Q19" s="22">
        <v>3.8311000000000002</v>
      </c>
      <c r="R19" s="66">
        <v>98117</v>
      </c>
      <c r="S19" s="22">
        <v>96.5</v>
      </c>
      <c r="T19" s="24">
        <v>3535</v>
      </c>
      <c r="U19" s="22">
        <v>3.4775999999999998</v>
      </c>
      <c r="V19" s="46">
        <v>6012</v>
      </c>
      <c r="W19" s="23">
        <v>5.9142999999999999</v>
      </c>
      <c r="X19" s="25">
        <v>97632</v>
      </c>
      <c r="Y19" s="26">
        <v>99.988</v>
      </c>
    </row>
    <row r="20" spans="1:26">
      <c r="A20" t="s">
        <v>34</v>
      </c>
      <c r="B20" t="s">
        <v>38</v>
      </c>
      <c r="C20" s="88">
        <v>29666</v>
      </c>
      <c r="D20" s="84">
        <v>303</v>
      </c>
      <c r="E20" s="109">
        <v>1</v>
      </c>
      <c r="F20">
        <v>213</v>
      </c>
      <c r="G20">
        <v>0.7</v>
      </c>
      <c r="H20">
        <v>5677</v>
      </c>
      <c r="I20" s="109">
        <v>19.100000000000001</v>
      </c>
      <c r="J20">
        <v>7492</v>
      </c>
      <c r="K20" s="109">
        <v>25.3</v>
      </c>
      <c r="L20">
        <v>13493</v>
      </c>
      <c r="M20" s="109">
        <v>45.5</v>
      </c>
      <c r="N20">
        <v>64</v>
      </c>
      <c r="O20" s="109">
        <v>0.2</v>
      </c>
      <c r="P20" s="91">
        <v>1343</v>
      </c>
      <c r="Q20" s="85">
        <v>4.5</v>
      </c>
      <c r="R20" s="147">
        <v>28585</v>
      </c>
      <c r="S20" s="85">
        <v>96.4</v>
      </c>
      <c r="T20" s="146">
        <v>1081</v>
      </c>
      <c r="U20" s="133">
        <v>3.6</v>
      </c>
      <c r="V20" s="147">
        <v>1677</v>
      </c>
      <c r="W20">
        <v>5.7</v>
      </c>
      <c r="X20" s="136">
        <v>84270</v>
      </c>
      <c r="Y20" s="137">
        <v>88.15</v>
      </c>
    </row>
    <row r="21" spans="1:26">
      <c r="A21">
        <v>2023</v>
      </c>
      <c r="B21" t="s">
        <v>38</v>
      </c>
      <c r="C21" s="104"/>
      <c r="D21" s="104"/>
      <c r="E21" s="140"/>
      <c r="F21" s="141"/>
      <c r="G21" s="140"/>
      <c r="H21" s="141"/>
      <c r="I21" s="140"/>
      <c r="J21" s="141"/>
      <c r="K21" s="140"/>
      <c r="L21" s="141"/>
      <c r="M21" s="140"/>
      <c r="N21" s="141"/>
      <c r="O21" s="140"/>
      <c r="P21" s="142"/>
      <c r="Q21" s="106"/>
      <c r="R21" s="104"/>
      <c r="S21" s="106"/>
      <c r="T21" s="104"/>
      <c r="U21" s="106"/>
      <c r="V21" s="104"/>
      <c r="W21" s="141"/>
      <c r="X21" s="160"/>
      <c r="Y21" s="142"/>
    </row>
    <row r="22" spans="1:26">
      <c r="A22">
        <v>2024</v>
      </c>
      <c r="B22" t="s">
        <v>38</v>
      </c>
    </row>
    <row r="23" spans="1:26" ht="17" thickBot="1">
      <c r="C23" s="70"/>
    </row>
    <row r="24" spans="1:26" ht="18" thickTop="1" thickBot="1">
      <c r="D24" s="65"/>
      <c r="F24" s="64"/>
      <c r="J24" s="65"/>
      <c r="L24" s="65"/>
      <c r="V24" s="65"/>
    </row>
    <row r="25" spans="1:26" ht="17" thickTop="1">
      <c r="C25" s="65"/>
      <c r="D25" s="65"/>
      <c r="F25" s="65"/>
      <c r="H25" s="65"/>
      <c r="J25" s="65"/>
      <c r="L25" s="65"/>
      <c r="V25" s="65"/>
    </row>
    <row r="26" spans="1:26">
      <c r="C26" t="s">
        <v>46</v>
      </c>
      <c r="O26" s="57"/>
      <c r="P26" s="56"/>
      <c r="Q26" s="57"/>
      <c r="R26" s="56"/>
      <c r="S26" s="57"/>
      <c r="T26" s="56"/>
      <c r="U26" s="57"/>
      <c r="V26" s="65"/>
    </row>
    <row r="27" spans="1:26">
      <c r="C27" s="56"/>
      <c r="D27" s="70" t="s">
        <v>40</v>
      </c>
      <c r="E27" t="s">
        <v>9</v>
      </c>
      <c r="F27" t="s">
        <v>44</v>
      </c>
      <c r="G27" t="s">
        <v>41</v>
      </c>
      <c r="H27" t="s">
        <v>12</v>
      </c>
      <c r="I27" t="s">
        <v>45</v>
      </c>
      <c r="J27" t="s">
        <v>14</v>
      </c>
      <c r="K27" t="s">
        <v>42</v>
      </c>
      <c r="L27" s="56"/>
      <c r="M27" s="57"/>
      <c r="N27" s="56"/>
      <c r="O27" s="57"/>
      <c r="P27" s="56"/>
      <c r="Q27" s="57"/>
      <c r="R27" s="56"/>
      <c r="S27" s="57"/>
      <c r="T27" s="56"/>
      <c r="U27" s="57"/>
      <c r="W27" s="247" t="s">
        <v>10</v>
      </c>
      <c r="X27" s="248"/>
      <c r="Y27" s="247" t="s">
        <v>10</v>
      </c>
      <c r="Z27" s="248"/>
    </row>
    <row r="28" spans="1:26" ht="30" thickBot="1">
      <c r="C28" t="s">
        <v>33</v>
      </c>
      <c r="D28" s="15">
        <v>0.3</v>
      </c>
      <c r="E28" s="15">
        <v>0.3</v>
      </c>
      <c r="F28" s="15">
        <v>27.5</v>
      </c>
      <c r="G28" s="15">
        <v>31</v>
      </c>
      <c r="H28" s="15">
        <v>55.9</v>
      </c>
      <c r="I28" s="15"/>
      <c r="J28" s="15"/>
      <c r="K28">
        <v>18.100000000000001</v>
      </c>
      <c r="L28" s="15"/>
      <c r="M28" s="15"/>
      <c r="N28" s="15"/>
      <c r="O28" s="15"/>
      <c r="P28" s="15"/>
      <c r="Q28" s="70"/>
      <c r="R28" s="70"/>
      <c r="S28" s="70"/>
      <c r="T28" s="70"/>
      <c r="U28" s="70"/>
      <c r="V28" t="s">
        <v>18</v>
      </c>
      <c r="W28" s="7" t="s">
        <v>15</v>
      </c>
      <c r="X28" s="6" t="s">
        <v>99</v>
      </c>
      <c r="Y28" s="7" t="s">
        <v>15</v>
      </c>
      <c r="Z28" s="6" t="s">
        <v>100</v>
      </c>
    </row>
    <row r="29" spans="1:26" ht="17" thickBot="1">
      <c r="C29" t="s">
        <v>30</v>
      </c>
      <c r="D29" s="15">
        <v>0.32123353678124</v>
      </c>
      <c r="E29" s="15">
        <v>0.38548024413748799</v>
      </c>
      <c r="F29" s="15">
        <v>17.8927079987151</v>
      </c>
      <c r="G29" s="15">
        <v>44.555091551558</v>
      </c>
      <c r="H29" s="15">
        <v>33.825891423064597</v>
      </c>
      <c r="I29" s="15">
        <v>0</v>
      </c>
      <c r="J29" s="15">
        <v>3.0195952457436599</v>
      </c>
      <c r="K29" s="15">
        <v>27.4</v>
      </c>
      <c r="L29" s="15"/>
      <c r="M29" s="15"/>
      <c r="N29" s="15"/>
      <c r="O29" s="15"/>
      <c r="P29" s="57"/>
      <c r="V29" t="s">
        <v>33</v>
      </c>
      <c r="W29" s="82">
        <v>51</v>
      </c>
      <c r="X29" s="175"/>
      <c r="Y29">
        <v>3359</v>
      </c>
      <c r="Z29" s="175">
        <v>0.33600000000000002</v>
      </c>
    </row>
    <row r="30" spans="1:26">
      <c r="C30" t="s">
        <v>29</v>
      </c>
      <c r="D30" s="30">
        <v>0.5</v>
      </c>
      <c r="E30" s="30">
        <v>0.7</v>
      </c>
      <c r="F30" s="30">
        <v>8.6</v>
      </c>
      <c r="G30" s="30">
        <v>46.6</v>
      </c>
      <c r="H30" s="30">
        <v>39.299999999999997</v>
      </c>
      <c r="I30" s="30">
        <v>0</v>
      </c>
      <c r="J30" s="29">
        <v>4.2</v>
      </c>
      <c r="K30" s="33">
        <v>19.8</v>
      </c>
      <c r="L30" s="15"/>
      <c r="M30" s="15"/>
      <c r="N30" s="15"/>
      <c r="O30" s="15"/>
      <c r="P30" s="15"/>
      <c r="V30" t="s">
        <v>30</v>
      </c>
      <c r="W30" s="13">
        <v>65</v>
      </c>
      <c r="X30" s="175">
        <v>0.38300000000000001</v>
      </c>
      <c r="Y30" s="13">
        <v>4157</v>
      </c>
      <c r="Z30" s="175">
        <v>0.35</v>
      </c>
    </row>
    <row r="31" spans="1:26">
      <c r="C31" t="s">
        <v>20</v>
      </c>
      <c r="D31" s="18">
        <v>0.18820000000000001</v>
      </c>
      <c r="E31" s="18">
        <v>0.70589999999999997</v>
      </c>
      <c r="F31" s="18">
        <v>16.7059</v>
      </c>
      <c r="G31" s="18">
        <v>46.4</v>
      </c>
      <c r="H31" s="18">
        <v>31.905899999999999</v>
      </c>
      <c r="I31" s="18">
        <v>4.7100000000000003E-2</v>
      </c>
      <c r="J31" s="22">
        <v>4.0471000000000004</v>
      </c>
      <c r="K31" s="23">
        <v>18.7</v>
      </c>
      <c r="M31" s="15"/>
      <c r="N31" s="15"/>
      <c r="O31" s="15"/>
      <c r="P31" s="15"/>
      <c r="Q31" s="15"/>
      <c r="V31" t="s">
        <v>29</v>
      </c>
      <c r="W31" s="31">
        <v>34</v>
      </c>
      <c r="X31" s="175">
        <v>0.41099999999999998</v>
      </c>
      <c r="Y31" s="31">
        <v>3829</v>
      </c>
      <c r="Z31" s="175">
        <v>0.28399999999999997</v>
      </c>
    </row>
    <row r="32" spans="1:26">
      <c r="C32" t="s">
        <v>19</v>
      </c>
      <c r="D32" s="140" t="s">
        <v>35</v>
      </c>
      <c r="E32" s="140" t="s">
        <v>35</v>
      </c>
      <c r="F32" s="140" t="s">
        <v>35</v>
      </c>
      <c r="G32" s="140" t="s">
        <v>35</v>
      </c>
      <c r="H32" s="140" t="s">
        <v>35</v>
      </c>
      <c r="I32" s="140" t="s">
        <v>35</v>
      </c>
      <c r="J32" s="106" t="s">
        <v>35</v>
      </c>
      <c r="K32" s="23">
        <v>13.2</v>
      </c>
      <c r="M32" s="15"/>
      <c r="N32" s="15"/>
      <c r="O32" s="15"/>
      <c r="P32" s="15"/>
      <c r="Q32" s="15"/>
      <c r="V32" t="s">
        <v>20</v>
      </c>
      <c r="W32" s="19">
        <v>95</v>
      </c>
      <c r="X32" s="175">
        <v>0.45900000000000002</v>
      </c>
      <c r="Y32" s="19">
        <v>4575</v>
      </c>
      <c r="Z32" s="175">
        <v>0.34</v>
      </c>
    </row>
    <row r="33" spans="3:26">
      <c r="C33" t="s">
        <v>34</v>
      </c>
      <c r="D33" s="55">
        <v>0</v>
      </c>
      <c r="E33" s="55">
        <v>0.64</v>
      </c>
      <c r="F33" s="55">
        <v>9.5500000000000007</v>
      </c>
      <c r="G33" s="55">
        <v>15.29</v>
      </c>
      <c r="H33" s="55">
        <v>68.47</v>
      </c>
      <c r="I33" s="55">
        <v>0.32</v>
      </c>
      <c r="J33" s="55">
        <v>5.73</v>
      </c>
      <c r="K33" s="58">
        <v>2.8</v>
      </c>
      <c r="M33" s="15"/>
      <c r="N33" s="15"/>
      <c r="O33" s="15"/>
      <c r="P33" s="15"/>
      <c r="V33" t="s">
        <v>19</v>
      </c>
      <c r="W33" t="s">
        <v>35</v>
      </c>
      <c r="Y33" t="s">
        <v>35</v>
      </c>
      <c r="Z33" s="175"/>
    </row>
    <row r="34" spans="3:26">
      <c r="M34" s="15"/>
      <c r="N34" s="15"/>
      <c r="O34" s="15"/>
      <c r="P34" s="15"/>
      <c r="V34" t="s">
        <v>34</v>
      </c>
      <c r="W34" s="110">
        <v>3</v>
      </c>
      <c r="X34" s="175">
        <v>0.1235</v>
      </c>
      <c r="Y34" s="54">
        <v>1104</v>
      </c>
      <c r="Z34" s="175">
        <v>0.25900000000000001</v>
      </c>
    </row>
    <row r="39" spans="3:26">
      <c r="E39" s="15"/>
      <c r="F39" s="15"/>
      <c r="G39" s="15"/>
      <c r="H39" s="15"/>
      <c r="I39" s="57"/>
    </row>
    <row r="40" spans="3:26">
      <c r="C40" t="s">
        <v>46</v>
      </c>
      <c r="E40" s="75"/>
      <c r="F40" s="75"/>
      <c r="G40" s="75"/>
      <c r="H40" s="75"/>
      <c r="I40" s="76"/>
      <c r="X40" s="173"/>
      <c r="Y40" s="65"/>
      <c r="Z40" s="188"/>
    </row>
    <row r="41" spans="3:26" ht="17" thickBot="1">
      <c r="C41" s="70"/>
      <c r="D41" s="70" t="s">
        <v>40</v>
      </c>
      <c r="E41" s="75" t="s">
        <v>9</v>
      </c>
      <c r="F41" s="75" t="s">
        <v>44</v>
      </c>
      <c r="G41" s="75" t="s">
        <v>41</v>
      </c>
      <c r="H41" s="75" t="s">
        <v>12</v>
      </c>
      <c r="I41" t="s">
        <v>45</v>
      </c>
      <c r="J41" t="s">
        <v>14</v>
      </c>
      <c r="K41" t="s">
        <v>42</v>
      </c>
      <c r="X41" s="173"/>
      <c r="Y41" s="65"/>
      <c r="Z41" s="173"/>
    </row>
    <row r="42" spans="3:26" ht="18" customHeight="1" thickBot="1">
      <c r="C42" t="s">
        <v>33</v>
      </c>
      <c r="D42" s="93">
        <v>0.3</v>
      </c>
      <c r="E42" s="94">
        <v>0.3</v>
      </c>
      <c r="F42" s="94">
        <v>0.3</v>
      </c>
      <c r="G42" s="94">
        <v>23.6</v>
      </c>
      <c r="H42" s="94">
        <v>26.6</v>
      </c>
      <c r="I42" s="94">
        <v>48</v>
      </c>
      <c r="J42" s="95"/>
      <c r="K42" s="96">
        <v>17.100000000000001</v>
      </c>
      <c r="W42" s="247" t="s">
        <v>11</v>
      </c>
      <c r="X42" s="248"/>
      <c r="Y42" s="65"/>
      <c r="Z42" s="173"/>
    </row>
    <row r="43" spans="3:26" ht="17" thickBot="1">
      <c r="C43" t="s">
        <v>30</v>
      </c>
      <c r="D43" s="97">
        <v>0.5</v>
      </c>
      <c r="E43" s="98">
        <v>0.3</v>
      </c>
      <c r="F43" s="98">
        <v>16.899999999999999</v>
      </c>
      <c r="G43" s="98">
        <v>43.6</v>
      </c>
      <c r="H43" s="98">
        <v>35.6</v>
      </c>
      <c r="I43" s="98">
        <v>0</v>
      </c>
      <c r="J43" s="98">
        <v>3.2</v>
      </c>
      <c r="K43" s="99">
        <v>26.4</v>
      </c>
      <c r="W43" s="7" t="s">
        <v>15</v>
      </c>
      <c r="X43" s="6" t="s">
        <v>16</v>
      </c>
      <c r="Y43" s="65"/>
      <c r="Z43" s="173"/>
    </row>
    <row r="44" spans="3:26" ht="17" thickBot="1">
      <c r="C44" t="s">
        <v>29</v>
      </c>
      <c r="D44" s="97">
        <v>0.4</v>
      </c>
      <c r="E44" s="98">
        <v>0.8</v>
      </c>
      <c r="F44" s="98">
        <v>8.6</v>
      </c>
      <c r="G44" s="98">
        <v>45.8</v>
      </c>
      <c r="H44" s="98">
        <v>40.1</v>
      </c>
      <c r="I44" s="98">
        <v>0</v>
      </c>
      <c r="J44" s="98">
        <v>4.3</v>
      </c>
      <c r="K44" s="99">
        <v>19.100000000000001</v>
      </c>
      <c r="W44" s="13" t="s">
        <v>43</v>
      </c>
      <c r="X44" s="15"/>
      <c r="Y44" s="175">
        <v>0.13800000000000001</v>
      </c>
      <c r="Z44" s="175"/>
    </row>
    <row r="45" spans="3:26" ht="17" thickBot="1">
      <c r="C45" t="s">
        <v>20</v>
      </c>
      <c r="D45" s="97">
        <v>0.2</v>
      </c>
      <c r="E45" s="98">
        <v>0.7</v>
      </c>
      <c r="F45" s="98">
        <v>16.399999999999999</v>
      </c>
      <c r="G45" s="98">
        <v>46.3</v>
      </c>
      <c r="H45" s="98">
        <v>32.799999999999997</v>
      </c>
      <c r="I45" s="98">
        <v>0</v>
      </c>
      <c r="J45" s="98">
        <v>3.6</v>
      </c>
      <c r="K45" s="99">
        <v>20.2</v>
      </c>
      <c r="W45" s="13">
        <v>509</v>
      </c>
      <c r="X45" s="48">
        <v>13.812754409769299</v>
      </c>
      <c r="Y45" s="175">
        <v>0.52900000000000003</v>
      </c>
      <c r="Z45" s="175"/>
    </row>
    <row r="46" spans="3:26" ht="17" thickBot="1">
      <c r="C46" t="s">
        <v>19</v>
      </c>
      <c r="D46" s="97">
        <v>0.2</v>
      </c>
      <c r="E46" s="98">
        <v>0.8</v>
      </c>
      <c r="F46" s="98">
        <v>17.5</v>
      </c>
      <c r="G46" s="98">
        <v>42.4</v>
      </c>
      <c r="H46" s="98">
        <v>34.4</v>
      </c>
      <c r="I46" s="98">
        <v>0</v>
      </c>
      <c r="J46" s="98">
        <v>4.9000000000000004</v>
      </c>
      <c r="K46" s="99">
        <v>14.3</v>
      </c>
      <c r="W46" s="31">
        <v>405</v>
      </c>
      <c r="X46" s="30">
        <v>52.9</v>
      </c>
      <c r="Y46" s="175">
        <v>0.57099999999999995</v>
      </c>
      <c r="Z46" s="175"/>
    </row>
    <row r="47" spans="3:26" ht="17" thickBot="1">
      <c r="C47" t="s">
        <v>34</v>
      </c>
      <c r="D47" s="100">
        <v>0</v>
      </c>
      <c r="E47" s="99">
        <v>0.5</v>
      </c>
      <c r="F47" s="99">
        <v>8.1999999999999993</v>
      </c>
      <c r="G47" s="99">
        <v>14.4</v>
      </c>
      <c r="H47" s="99">
        <v>68.2</v>
      </c>
      <c r="I47" s="99">
        <v>0.2</v>
      </c>
      <c r="J47" s="99">
        <v>6.7</v>
      </c>
      <c r="K47" s="99">
        <v>2.9</v>
      </c>
      <c r="W47" s="19">
        <v>444</v>
      </c>
      <c r="X47" s="18">
        <v>57.142899999999997</v>
      </c>
      <c r="Y47" s="175">
        <v>0.51700000000000002</v>
      </c>
      <c r="Z47" s="175"/>
    </row>
    <row r="48" spans="3:26">
      <c r="T48" s="247"/>
      <c r="U48" s="248"/>
      <c r="W48" s="19">
        <v>305</v>
      </c>
      <c r="X48" s="18">
        <v>51.694899999999997</v>
      </c>
      <c r="Y48" s="175">
        <v>0.16900000000000001</v>
      </c>
      <c r="Z48" s="175"/>
    </row>
    <row r="49" spans="3:33" ht="17" thickBot="1">
      <c r="T49" s="7"/>
      <c r="U49" s="6"/>
      <c r="W49">
        <v>21</v>
      </c>
      <c r="X49">
        <v>16.899999999999999</v>
      </c>
      <c r="Y49" s="175">
        <v>0.372</v>
      </c>
      <c r="Z49" s="175"/>
    </row>
    <row r="50" spans="3:33" ht="16" customHeight="1">
      <c r="T50" s="14"/>
      <c r="U50" s="15"/>
      <c r="W50" s="247" t="s">
        <v>11</v>
      </c>
      <c r="X50" s="248"/>
      <c r="Y50" s="175">
        <v>0.105</v>
      </c>
      <c r="Z50" s="175"/>
      <c r="AE50" s="247" t="s">
        <v>11</v>
      </c>
      <c r="AF50" s="248"/>
    </row>
    <row r="51" spans="3:33" ht="17" thickBot="1">
      <c r="T51" s="13"/>
      <c r="U51" s="48"/>
      <c r="W51" s="7" t="s">
        <v>15</v>
      </c>
      <c r="X51" s="6" t="s">
        <v>16</v>
      </c>
      <c r="Y51" s="175">
        <v>0.35199999999999998</v>
      </c>
      <c r="Z51" s="175"/>
      <c r="AA51" s="65"/>
      <c r="AB51" s="173"/>
      <c r="AC51" s="65"/>
      <c r="AE51" s="80" t="s">
        <v>15</v>
      </c>
      <c r="AF51" s="81" t="s">
        <v>16</v>
      </c>
    </row>
    <row r="52" spans="3:33" ht="17" thickBot="1">
      <c r="T52" s="13"/>
      <c r="U52" s="48"/>
      <c r="W52" s="54">
        <v>11923</v>
      </c>
      <c r="X52">
        <v>37.200000000000003</v>
      </c>
      <c r="Y52" s="175">
        <v>0.38900000000000001</v>
      </c>
      <c r="Z52" s="175"/>
      <c r="AA52" s="65"/>
      <c r="AB52" s="173"/>
      <c r="AC52" s="65"/>
      <c r="AE52" s="82">
        <v>0</v>
      </c>
      <c r="AF52" s="107"/>
      <c r="AG52" s="175">
        <v>0.38300000000000001</v>
      </c>
    </row>
    <row r="53" spans="3:33">
      <c r="C53" t="s">
        <v>42</v>
      </c>
      <c r="E53" t="s">
        <v>55</v>
      </c>
      <c r="G53" t="s">
        <v>56</v>
      </c>
      <c r="T53" s="13"/>
      <c r="U53" s="48"/>
      <c r="W53" s="13">
        <v>11458</v>
      </c>
      <c r="X53" s="15">
        <v>10.458673725525999</v>
      </c>
      <c r="Y53" s="175">
        <v>0.42899999999999999</v>
      </c>
      <c r="Z53" s="175"/>
      <c r="AA53" s="65"/>
      <c r="AB53" s="173"/>
      <c r="AC53" s="65"/>
      <c r="AE53" s="13">
        <v>219</v>
      </c>
      <c r="AF53" s="15">
        <v>38.286713286713301</v>
      </c>
      <c r="AG53" s="175">
        <v>0.41099999999999998</v>
      </c>
    </row>
    <row r="54" spans="3:33">
      <c r="C54" s="41">
        <v>2400</v>
      </c>
      <c r="E54" s="13">
        <v>1843</v>
      </c>
      <c r="G54" s="13">
        <v>678</v>
      </c>
      <c r="T54" s="13"/>
      <c r="U54" s="48"/>
      <c r="W54" s="31">
        <v>9833</v>
      </c>
      <c r="X54" s="33">
        <v>35.200000000000003</v>
      </c>
      <c r="Y54" s="175">
        <v>0.26500000000000001</v>
      </c>
      <c r="Z54" s="175"/>
      <c r="AA54" s="65"/>
      <c r="AB54" s="173"/>
      <c r="AE54" s="31">
        <v>161</v>
      </c>
      <c r="AF54" s="33">
        <v>41.1</v>
      </c>
      <c r="AG54" s="175">
        <v>0.45900000000000002</v>
      </c>
    </row>
    <row r="55" spans="3:33">
      <c r="C55" s="79">
        <v>3712</v>
      </c>
      <c r="E55" s="79">
        <v>2662</v>
      </c>
      <c r="G55" s="79">
        <v>1050</v>
      </c>
      <c r="W55" s="20">
        <v>10294</v>
      </c>
      <c r="X55" s="18">
        <v>38.929000000000002</v>
      </c>
      <c r="Y55" s="175"/>
      <c r="Z55" s="175"/>
      <c r="AA55" s="65"/>
      <c r="AB55" s="173"/>
      <c r="AC55" s="65"/>
      <c r="AE55" s="19">
        <v>284</v>
      </c>
      <c r="AF55" s="18">
        <v>45.88</v>
      </c>
      <c r="AG55" s="175">
        <v>0.1235</v>
      </c>
    </row>
    <row r="56" spans="3:33">
      <c r="C56" s="27">
        <v>2682</v>
      </c>
      <c r="E56" s="27">
        <v>1898</v>
      </c>
      <c r="G56" s="27">
        <v>784</v>
      </c>
      <c r="T56" s="247"/>
      <c r="U56" s="248"/>
      <c r="W56" s="20">
        <v>11570</v>
      </c>
      <c r="X56" s="18">
        <v>42.920200000000001</v>
      </c>
      <c r="Z56" s="173"/>
      <c r="AA56" s="65"/>
      <c r="AB56" s="173"/>
      <c r="AE56" t="s">
        <v>35</v>
      </c>
      <c r="AF56" s="109" t="s">
        <v>35</v>
      </c>
      <c r="AG56" s="175">
        <v>0.33600000000000002</v>
      </c>
    </row>
    <row r="57" spans="3:33" ht="17" thickBot="1">
      <c r="C57" s="16">
        <v>2833</v>
      </c>
      <c r="E57" s="16">
        <v>2017</v>
      </c>
      <c r="G57" s="16">
        <v>816</v>
      </c>
      <c r="T57" s="7"/>
      <c r="U57" s="6"/>
      <c r="W57">
        <v>2289</v>
      </c>
      <c r="X57" s="109">
        <v>26.5</v>
      </c>
      <c r="AE57" s="110">
        <v>10</v>
      </c>
      <c r="AF57" s="108">
        <v>12.35</v>
      </c>
      <c r="AG57" s="175">
        <v>0.35</v>
      </c>
    </row>
    <row r="58" spans="3:33">
      <c r="C58" s="121">
        <v>2009</v>
      </c>
      <c r="E58" s="24">
        <v>1410</v>
      </c>
      <c r="G58" s="24">
        <v>599</v>
      </c>
      <c r="T58" s="56"/>
      <c r="AE58" s="247" t="s">
        <v>11</v>
      </c>
      <c r="AF58" s="248"/>
      <c r="AG58" s="175">
        <v>0.28399999999999997</v>
      </c>
    </row>
    <row r="59" spans="3:33" ht="17" thickBot="1">
      <c r="C59">
        <v>402</v>
      </c>
      <c r="E59">
        <v>278</v>
      </c>
      <c r="G59">
        <v>124</v>
      </c>
      <c r="T59" s="13"/>
      <c r="U59" s="15"/>
      <c r="AE59" s="7" t="s">
        <v>15</v>
      </c>
      <c r="AF59" s="6" t="s">
        <v>16</v>
      </c>
      <c r="AG59" s="175">
        <v>0.34</v>
      </c>
    </row>
    <row r="60" spans="3:33">
      <c r="T60" s="13"/>
      <c r="U60" s="15"/>
      <c r="AE60" s="65">
        <v>7616</v>
      </c>
      <c r="AF60" s="168">
        <v>33.6</v>
      </c>
      <c r="AG60" s="175">
        <v>0.25900000000000001</v>
      </c>
    </row>
    <row r="61" spans="3:33">
      <c r="T61" s="13"/>
      <c r="U61" s="48"/>
      <c r="AE61" s="13">
        <v>7547</v>
      </c>
      <c r="AF61" s="15">
        <v>34.990031990356499</v>
      </c>
    </row>
    <row r="62" spans="3:33">
      <c r="C62" t="s">
        <v>18</v>
      </c>
      <c r="D62" t="s">
        <v>42</v>
      </c>
      <c r="E62" t="s">
        <v>55</v>
      </c>
      <c r="F62" t="s">
        <v>56</v>
      </c>
      <c r="T62" s="13"/>
      <c r="U62" s="48"/>
      <c r="AE62" s="31">
        <v>6873</v>
      </c>
      <c r="AF62" s="33">
        <v>28.4</v>
      </c>
    </row>
    <row r="63" spans="3:33">
      <c r="C63" t="s">
        <v>33</v>
      </c>
      <c r="D63" s="173">
        <v>0.18099999999999999</v>
      </c>
      <c r="E63" s="173">
        <v>0.71299999999999997</v>
      </c>
      <c r="F63" s="173">
        <v>0.28599999999999998</v>
      </c>
      <c r="U63" s="109"/>
      <c r="AE63" s="20">
        <v>7419</v>
      </c>
      <c r="AF63" s="23">
        <v>33.956000000000003</v>
      </c>
    </row>
    <row r="64" spans="3:33">
      <c r="C64" t="s">
        <v>30</v>
      </c>
      <c r="D64" s="173">
        <v>0.27400000000000002</v>
      </c>
      <c r="E64" s="173">
        <v>0.70399999999999996</v>
      </c>
      <c r="F64" s="173">
        <v>0.29599999999999999</v>
      </c>
      <c r="AE64" t="s">
        <v>35</v>
      </c>
      <c r="AF64" s="109" t="s">
        <v>35</v>
      </c>
    </row>
    <row r="65" spans="2:32">
      <c r="C65" t="s">
        <v>29</v>
      </c>
      <c r="D65" s="173">
        <v>0.19800000000000001</v>
      </c>
      <c r="E65" s="173">
        <v>0.69899999999999995</v>
      </c>
      <c r="F65" s="173">
        <v>0.30099999999999999</v>
      </c>
      <c r="AE65" s="54">
        <v>1549</v>
      </c>
      <c r="AF65" s="134">
        <v>25.9</v>
      </c>
    </row>
    <row r="66" spans="2:32">
      <c r="C66" t="s">
        <v>20</v>
      </c>
      <c r="D66" s="173">
        <v>0.187</v>
      </c>
      <c r="E66" s="173">
        <v>0.68799999999999994</v>
      </c>
      <c r="F66" s="173">
        <v>0.312</v>
      </c>
    </row>
    <row r="67" spans="2:32">
      <c r="C67" t="s">
        <v>19</v>
      </c>
      <c r="D67" s="173">
        <v>0.13200000000000001</v>
      </c>
      <c r="E67" s="173">
        <v>0.67300000000000004</v>
      </c>
      <c r="F67" s="173">
        <v>0.32700000000000001</v>
      </c>
    </row>
    <row r="68" spans="2:32">
      <c r="C68" t="s">
        <v>34</v>
      </c>
      <c r="D68" s="173">
        <v>2.8000000000000001E-2</v>
      </c>
      <c r="E68" s="173">
        <v>0.65</v>
      </c>
      <c r="F68" s="173">
        <v>0.35</v>
      </c>
      <c r="I68" s="173"/>
      <c r="J68" s="174"/>
    </row>
    <row r="69" spans="2:32">
      <c r="D69" s="175"/>
      <c r="I69" s="65"/>
      <c r="J69" s="173"/>
    </row>
    <row r="70" spans="2:32">
      <c r="C70" t="s">
        <v>18</v>
      </c>
      <c r="D70" t="s">
        <v>42</v>
      </c>
      <c r="E70" t="s">
        <v>55</v>
      </c>
      <c r="F70" t="s">
        <v>56</v>
      </c>
      <c r="I70" s="65"/>
      <c r="J70" s="173"/>
    </row>
    <row r="71" spans="2:32">
      <c r="C71" t="s">
        <v>33</v>
      </c>
      <c r="D71" s="173">
        <v>0.17100000000000001</v>
      </c>
      <c r="E71" s="173">
        <v>0.76700000000000002</v>
      </c>
      <c r="F71" s="173">
        <v>0.28299999999999997</v>
      </c>
      <c r="I71" s="65"/>
      <c r="J71" s="173"/>
    </row>
    <row r="72" spans="2:32">
      <c r="C72" t="s">
        <v>30</v>
      </c>
      <c r="D72" s="173">
        <v>0.26400000000000001</v>
      </c>
      <c r="E72" s="173">
        <v>0.71699999999999997</v>
      </c>
      <c r="F72" s="173">
        <v>0.28299999999999997</v>
      </c>
      <c r="I72" s="65"/>
      <c r="J72" s="173"/>
    </row>
    <row r="73" spans="2:32">
      <c r="C73" t="s">
        <v>29</v>
      </c>
      <c r="D73" s="173">
        <v>0.191</v>
      </c>
      <c r="E73" s="173">
        <v>0.70799999999999996</v>
      </c>
      <c r="F73" s="173">
        <v>0.29199999999999998</v>
      </c>
      <c r="J73" s="173"/>
    </row>
    <row r="74" spans="2:32">
      <c r="C74" t="s">
        <v>20</v>
      </c>
      <c r="D74" s="173">
        <v>0.20200000000000001</v>
      </c>
      <c r="E74" s="173">
        <v>0.71299999999999997</v>
      </c>
      <c r="F74" s="173">
        <v>0.28699999999999998</v>
      </c>
    </row>
    <row r="75" spans="2:32">
      <c r="C75" t="s">
        <v>19</v>
      </c>
      <c r="D75" s="173">
        <v>0.14299999999999999</v>
      </c>
      <c r="E75" s="173">
        <v>0.70199999999999996</v>
      </c>
      <c r="F75" s="173">
        <v>0.29799999999999999</v>
      </c>
    </row>
    <row r="76" spans="2:32">
      <c r="C76" t="s">
        <v>34</v>
      </c>
      <c r="D76" s="173">
        <v>2.9000000000000001E-2</v>
      </c>
      <c r="E76" s="173">
        <v>0.69199999999999995</v>
      </c>
      <c r="F76" s="173">
        <v>0.308</v>
      </c>
    </row>
    <row r="79" spans="2:32" ht="17" customHeight="1" thickBot="1"/>
    <row r="80" spans="2:32" ht="56" customHeight="1">
      <c r="B80" t="s">
        <v>18</v>
      </c>
      <c r="C80" s="71" t="s">
        <v>77</v>
      </c>
      <c r="D80" s="71" t="s">
        <v>82</v>
      </c>
      <c r="E80" s="177" t="s">
        <v>83</v>
      </c>
      <c r="Q80" t="s">
        <v>18</v>
      </c>
      <c r="R80" t="s">
        <v>59</v>
      </c>
      <c r="S80" s="177" t="s">
        <v>78</v>
      </c>
      <c r="T80" s="177" t="s">
        <v>79</v>
      </c>
    </row>
    <row r="81" spans="2:20">
      <c r="B81" t="s">
        <v>33</v>
      </c>
      <c r="C81" s="184">
        <v>2.1000000000000001E-2</v>
      </c>
      <c r="D81" s="184">
        <v>1.7999999999999999E-2</v>
      </c>
      <c r="E81" s="184">
        <v>2.1999999999999999E-2</v>
      </c>
      <c r="Q81" t="s">
        <v>33</v>
      </c>
      <c r="R81" s="173">
        <v>1.9E-2</v>
      </c>
      <c r="S81" s="178">
        <v>0.02</v>
      </c>
      <c r="T81" s="178">
        <v>0.02</v>
      </c>
    </row>
    <row r="82" spans="2:20">
      <c r="B82" t="s">
        <v>30</v>
      </c>
      <c r="C82" s="184">
        <v>3.7999999999999999E-2</v>
      </c>
      <c r="D82" s="184">
        <v>3.1E-2</v>
      </c>
      <c r="E82" s="184">
        <v>3.9E-2</v>
      </c>
      <c r="Q82" t="s">
        <v>30</v>
      </c>
      <c r="R82" s="173">
        <v>3.3000000000000002E-2</v>
      </c>
      <c r="S82" s="178">
        <v>2.5999999999999999E-2</v>
      </c>
      <c r="T82" s="178">
        <v>3.5000000000000003E-2</v>
      </c>
    </row>
    <row r="83" spans="2:20">
      <c r="B83" t="s">
        <v>29</v>
      </c>
      <c r="C83" s="184">
        <v>2.8000000000000001E-2</v>
      </c>
      <c r="D83" s="184">
        <v>2.1999999999999999E-2</v>
      </c>
      <c r="E83" s="184">
        <v>2.9000000000000001E-2</v>
      </c>
      <c r="N83" s="65"/>
      <c r="O83" s="65"/>
      <c r="P83" s="178"/>
      <c r="Q83" t="s">
        <v>29</v>
      </c>
      <c r="R83" s="173">
        <v>2.4E-2</v>
      </c>
      <c r="S83" s="178">
        <v>1.6E-2</v>
      </c>
      <c r="T83" s="178">
        <v>2.7E-2</v>
      </c>
    </row>
    <row r="84" spans="2:20">
      <c r="B84" t="s">
        <v>20</v>
      </c>
      <c r="C84" s="184">
        <v>0.03</v>
      </c>
      <c r="D84" s="184">
        <v>3.1E-2</v>
      </c>
      <c r="E84" s="184">
        <v>0.03</v>
      </c>
      <c r="N84" s="65"/>
      <c r="O84" s="65"/>
      <c r="P84" s="178"/>
      <c r="Q84" t="s">
        <v>20</v>
      </c>
      <c r="R84" s="173">
        <v>2.8000000000000001E-2</v>
      </c>
      <c r="S84" s="178">
        <v>2.8000000000000001E-2</v>
      </c>
      <c r="T84" s="178">
        <v>2.8000000000000001E-2</v>
      </c>
    </row>
    <row r="85" spans="2:20">
      <c r="B85" t="s">
        <v>19</v>
      </c>
      <c r="C85" s="184">
        <v>2.1999999999999999E-2</v>
      </c>
      <c r="D85" s="184">
        <v>2.1000000000000001E-2</v>
      </c>
      <c r="E85" s="184">
        <v>2.1999999999999999E-2</v>
      </c>
      <c r="N85" s="65"/>
      <c r="O85" s="65"/>
      <c r="P85" s="178"/>
      <c r="Q85" t="s">
        <v>19</v>
      </c>
      <c r="R85" s="173">
        <v>0.02</v>
      </c>
      <c r="S85" s="178">
        <v>0.02</v>
      </c>
      <c r="T85" s="178">
        <v>0.02</v>
      </c>
    </row>
    <row r="86" spans="2:20">
      <c r="B86" t="s">
        <v>34</v>
      </c>
      <c r="C86" s="184">
        <v>1.4E-2</v>
      </c>
      <c r="D86" s="184">
        <v>0.01</v>
      </c>
      <c r="E86" s="184">
        <v>1.4999999999999999E-2</v>
      </c>
      <c r="N86" s="65"/>
      <c r="O86" s="65"/>
      <c r="P86" s="178"/>
      <c r="Q86" t="s">
        <v>34</v>
      </c>
      <c r="R86" s="173">
        <v>1.4E-2</v>
      </c>
      <c r="S86" s="178">
        <v>1.2E-2</v>
      </c>
      <c r="T86" s="178">
        <v>1.4E-2</v>
      </c>
    </row>
    <row r="87" spans="2:20">
      <c r="N87" s="65"/>
      <c r="O87" s="65"/>
      <c r="P87" s="178"/>
    </row>
    <row r="88" spans="2:20">
      <c r="O88" s="65"/>
      <c r="P88" s="178"/>
    </row>
    <row r="90" spans="2:20">
      <c r="B90" t="s">
        <v>18</v>
      </c>
      <c r="C90" t="s">
        <v>57</v>
      </c>
      <c r="D90" t="s">
        <v>58</v>
      </c>
      <c r="E90" t="s">
        <v>59</v>
      </c>
    </row>
    <row r="91" spans="2:20">
      <c r="B91" t="s">
        <v>33</v>
      </c>
      <c r="C91">
        <v>2400</v>
      </c>
      <c r="D91">
        <v>125342</v>
      </c>
      <c r="E91" s="173">
        <v>1.9E-2</v>
      </c>
    </row>
    <row r="92" spans="2:20">
      <c r="B92" t="s">
        <v>30</v>
      </c>
      <c r="C92">
        <v>3712</v>
      </c>
      <c r="D92">
        <v>111018</v>
      </c>
      <c r="E92" s="173">
        <v>3.3000000000000002E-2</v>
      </c>
    </row>
    <row r="93" spans="2:20">
      <c r="B93" t="s">
        <v>29</v>
      </c>
      <c r="C93">
        <v>2682</v>
      </c>
      <c r="D93">
        <v>111215</v>
      </c>
      <c r="E93" s="173">
        <v>2.4E-2</v>
      </c>
    </row>
    <row r="94" spans="2:20">
      <c r="B94" t="s">
        <v>20</v>
      </c>
      <c r="C94">
        <v>2833</v>
      </c>
      <c r="D94">
        <v>101161</v>
      </c>
      <c r="E94" s="173">
        <v>2.8000000000000001E-2</v>
      </c>
    </row>
    <row r="95" spans="2:20">
      <c r="B95" t="s">
        <v>19</v>
      </c>
      <c r="C95">
        <v>2009</v>
      </c>
      <c r="D95">
        <v>101652</v>
      </c>
      <c r="E95" s="173">
        <v>0.02</v>
      </c>
    </row>
    <row r="96" spans="2:20">
      <c r="B96" t="s">
        <v>34</v>
      </c>
      <c r="C96">
        <v>402</v>
      </c>
      <c r="D96">
        <v>29666</v>
      </c>
      <c r="E96" s="173">
        <v>1.4E-2</v>
      </c>
    </row>
    <row r="99" spans="1:20">
      <c r="A99" t="s">
        <v>18</v>
      </c>
      <c r="B99" t="s">
        <v>59</v>
      </c>
      <c r="C99" s="177" t="s">
        <v>76</v>
      </c>
      <c r="D99" s="177" t="s">
        <v>77</v>
      </c>
      <c r="M99" s="179"/>
      <c r="N99" s="179"/>
      <c r="O99" s="177"/>
      <c r="R99" s="179"/>
      <c r="S99" s="179"/>
      <c r="T99" s="177"/>
    </row>
    <row r="100" spans="1:20">
      <c r="A100" t="s">
        <v>33</v>
      </c>
      <c r="B100" s="178">
        <v>0.02</v>
      </c>
      <c r="C100" s="178">
        <v>1.9E-2</v>
      </c>
      <c r="D100" s="178">
        <v>2.1999999999999999E-2</v>
      </c>
      <c r="J100" s="173"/>
      <c r="M100" s="13"/>
      <c r="N100" s="65"/>
      <c r="O100" s="178"/>
      <c r="R100" s="13"/>
      <c r="S100" s="65"/>
      <c r="T100" s="178"/>
    </row>
    <row r="101" spans="1:20">
      <c r="A101" t="s">
        <v>30</v>
      </c>
      <c r="B101" s="178">
        <v>3.5000000000000003E-2</v>
      </c>
      <c r="C101" s="178">
        <v>3.4000000000000002E-2</v>
      </c>
      <c r="D101" s="178">
        <v>3.9E-2</v>
      </c>
      <c r="J101" s="173"/>
      <c r="M101" s="13"/>
      <c r="N101" s="13"/>
      <c r="O101" s="178"/>
      <c r="R101" s="13"/>
      <c r="S101" s="13"/>
      <c r="T101" s="178"/>
    </row>
    <row r="102" spans="1:20">
      <c r="A102" t="s">
        <v>29</v>
      </c>
      <c r="B102" s="178">
        <v>2.7E-2</v>
      </c>
      <c r="C102" s="178">
        <v>2.5999999999999999E-2</v>
      </c>
      <c r="D102" s="178">
        <v>2.9000000000000001E-2</v>
      </c>
      <c r="J102" s="173"/>
      <c r="M102" s="13"/>
      <c r="N102" s="13"/>
      <c r="O102" s="178"/>
      <c r="R102" s="13"/>
      <c r="S102" s="13"/>
      <c r="T102" s="178"/>
    </row>
    <row r="103" spans="1:20">
      <c r="A103" t="s">
        <v>20</v>
      </c>
      <c r="B103" s="178">
        <v>2.8000000000000001E-2</v>
      </c>
      <c r="C103" s="178">
        <v>2.7E-2</v>
      </c>
      <c r="D103" s="178">
        <v>0.03</v>
      </c>
      <c r="J103" s="173"/>
      <c r="M103" s="13"/>
      <c r="N103" s="13"/>
      <c r="O103" s="178"/>
      <c r="R103" s="13"/>
      <c r="S103" s="13"/>
      <c r="T103" s="178"/>
    </row>
    <row r="104" spans="1:20">
      <c r="A104" t="s">
        <v>19</v>
      </c>
      <c r="B104" s="178">
        <v>0.02</v>
      </c>
      <c r="C104" s="178">
        <v>1.9E-2</v>
      </c>
      <c r="D104" s="178">
        <v>2.1999999999999999E-2</v>
      </c>
      <c r="J104" s="173"/>
      <c r="M104" s="13"/>
      <c r="N104" s="13"/>
      <c r="O104" s="178"/>
      <c r="R104" s="13"/>
      <c r="S104" s="13"/>
      <c r="T104" s="178"/>
    </row>
    <row r="105" spans="1:20">
      <c r="A105" t="s">
        <v>34</v>
      </c>
      <c r="B105" s="178">
        <v>1.4E-2</v>
      </c>
      <c r="C105" s="178">
        <v>1.2999999999999999E-2</v>
      </c>
      <c r="D105" s="178">
        <v>1.4999999999999999E-2</v>
      </c>
      <c r="J105" s="173"/>
      <c r="O105" s="178"/>
      <c r="T105" s="178"/>
    </row>
    <row r="107" spans="1:20">
      <c r="A107" t="s">
        <v>18</v>
      </c>
      <c r="B107" s="13" t="s">
        <v>59</v>
      </c>
      <c r="C107" s="13" t="s">
        <v>76</v>
      </c>
      <c r="D107" s="178" t="s">
        <v>77</v>
      </c>
    </row>
    <row r="108" spans="1:20">
      <c r="A108" t="s">
        <v>33</v>
      </c>
      <c r="B108" s="173">
        <v>1.9E-2</v>
      </c>
      <c r="C108" s="173">
        <v>0.02</v>
      </c>
      <c r="D108" s="178">
        <v>2.1000000000000001E-2</v>
      </c>
      <c r="H108" s="179"/>
      <c r="I108" s="179"/>
      <c r="J108" s="177"/>
      <c r="M108" s="179"/>
      <c r="N108" s="179"/>
      <c r="O108" s="177"/>
      <c r="R108" s="179"/>
      <c r="S108" s="179"/>
      <c r="T108" s="177"/>
    </row>
    <row r="109" spans="1:20">
      <c r="A109" t="s">
        <v>30</v>
      </c>
      <c r="B109" s="181">
        <v>3.3000000000000002E-2</v>
      </c>
      <c r="C109" s="181">
        <v>3.2000000000000001E-2</v>
      </c>
      <c r="D109" s="178">
        <v>3.7999999999999999E-2</v>
      </c>
      <c r="H109" s="13"/>
      <c r="I109" s="65"/>
      <c r="J109" s="178"/>
      <c r="O109" s="178"/>
      <c r="R109" s="13"/>
      <c r="S109" s="65"/>
      <c r="T109" s="178"/>
    </row>
    <row r="110" spans="1:20">
      <c r="A110" t="s">
        <v>29</v>
      </c>
      <c r="B110" s="173">
        <v>2.4E-2</v>
      </c>
      <c r="C110" s="173">
        <v>2.3E-2</v>
      </c>
      <c r="D110" s="173">
        <v>2.8000000000000001E-2</v>
      </c>
      <c r="H110" s="13"/>
      <c r="I110" s="13"/>
      <c r="J110" s="178"/>
      <c r="M110" s="13"/>
      <c r="N110" s="13"/>
      <c r="O110" s="178"/>
      <c r="R110" s="13"/>
      <c r="S110" s="13"/>
      <c r="T110" s="178"/>
    </row>
    <row r="111" spans="1:20">
      <c r="A111" t="s">
        <v>20</v>
      </c>
      <c r="B111" s="173">
        <v>2.8000000000000001E-2</v>
      </c>
      <c r="C111" s="173">
        <v>2.7E-2</v>
      </c>
      <c r="D111" s="173">
        <v>0.03</v>
      </c>
      <c r="H111" s="13"/>
      <c r="I111" s="13"/>
      <c r="J111" s="178"/>
      <c r="M111" s="13"/>
      <c r="N111" s="13"/>
      <c r="O111" s="178"/>
      <c r="R111" s="13"/>
      <c r="S111" s="13"/>
      <c r="T111" s="178"/>
    </row>
    <row r="112" spans="1:20">
      <c r="A112" t="s">
        <v>19</v>
      </c>
      <c r="B112" s="182">
        <v>0.02</v>
      </c>
      <c r="C112" s="182">
        <v>1.9E-2</v>
      </c>
      <c r="D112" s="178">
        <v>2.1999999999999999E-2</v>
      </c>
      <c r="M112" s="13"/>
      <c r="N112" s="13"/>
      <c r="O112" s="178"/>
      <c r="R112" s="13"/>
      <c r="S112" s="13"/>
      <c r="T112" s="178"/>
    </row>
    <row r="113" spans="1:21">
      <c r="A113" t="s">
        <v>34</v>
      </c>
      <c r="B113" s="183">
        <v>1.4E-2</v>
      </c>
      <c r="C113" s="173">
        <v>1.2999999999999999E-2</v>
      </c>
      <c r="D113" s="178">
        <v>1.4E-2</v>
      </c>
      <c r="O113" s="178"/>
      <c r="T113" s="178"/>
    </row>
    <row r="114" spans="1:21">
      <c r="B114" s="178"/>
      <c r="C114" s="178"/>
      <c r="D114" s="178"/>
      <c r="M114" s="56"/>
      <c r="N114" s="56"/>
      <c r="O114" s="178"/>
      <c r="R114" s="56"/>
      <c r="S114" s="56"/>
      <c r="T114" s="178"/>
    </row>
    <row r="117" spans="1:21">
      <c r="M117" s="179"/>
      <c r="N117" s="179"/>
      <c r="O117" s="177"/>
      <c r="R117" s="179"/>
      <c r="S117" s="179"/>
      <c r="T117" s="177"/>
    </row>
    <row r="118" spans="1:21">
      <c r="M118" s="13"/>
      <c r="N118" s="65"/>
      <c r="O118" s="178"/>
      <c r="R118" s="13"/>
      <c r="T118" s="178"/>
    </row>
    <row r="119" spans="1:21">
      <c r="H119" s="13"/>
      <c r="I119" s="13"/>
      <c r="J119" s="178"/>
      <c r="M119" s="13"/>
      <c r="N119" s="13"/>
      <c r="O119" s="178"/>
      <c r="R119" s="13"/>
      <c r="S119" s="13"/>
      <c r="T119" s="178"/>
    </row>
    <row r="120" spans="1:21">
      <c r="H120" s="180"/>
      <c r="I120" s="180"/>
      <c r="J120" s="178"/>
      <c r="M120" s="180"/>
      <c r="N120" s="180"/>
      <c r="O120" s="178"/>
      <c r="R120" s="180"/>
      <c r="S120" s="180"/>
      <c r="T120" s="178"/>
    </row>
    <row r="121" spans="1:21">
      <c r="H121" s="13"/>
      <c r="I121" s="13"/>
      <c r="J121" s="178"/>
      <c r="M121" s="13"/>
      <c r="N121" s="13"/>
      <c r="O121" s="178"/>
      <c r="R121" s="13"/>
      <c r="S121" s="13"/>
      <c r="T121" s="178"/>
    </row>
    <row r="122" spans="1:21">
      <c r="J122" s="178"/>
      <c r="O122" s="178"/>
      <c r="T122" s="178"/>
    </row>
    <row r="123" spans="1:21" ht="68">
      <c r="B123" s="177" t="s">
        <v>18</v>
      </c>
      <c r="C123" s="185" t="s">
        <v>57</v>
      </c>
      <c r="D123" s="185" t="s">
        <v>58</v>
      </c>
      <c r="M123" s="56"/>
      <c r="N123" s="56"/>
      <c r="O123" s="178"/>
      <c r="R123" s="56"/>
      <c r="S123" s="56"/>
      <c r="T123" s="177" t="s">
        <v>84</v>
      </c>
      <c r="U123" s="177" t="s">
        <v>85</v>
      </c>
    </row>
    <row r="124" spans="1:21">
      <c r="B124" t="s">
        <v>33</v>
      </c>
      <c r="C124">
        <v>2400</v>
      </c>
      <c r="D124">
        <v>125342</v>
      </c>
      <c r="T124" s="175">
        <v>0.12</v>
      </c>
      <c r="U124" s="175">
        <v>0.216</v>
      </c>
    </row>
    <row r="125" spans="1:21">
      <c r="B125" t="s">
        <v>30</v>
      </c>
      <c r="C125">
        <v>3712</v>
      </c>
      <c r="D125">
        <v>111018</v>
      </c>
      <c r="T125" s="175">
        <v>0.185</v>
      </c>
      <c r="U125" s="175">
        <v>0.191</v>
      </c>
    </row>
    <row r="126" spans="1:21">
      <c r="B126" t="s">
        <v>29</v>
      </c>
      <c r="C126">
        <v>2682</v>
      </c>
      <c r="D126">
        <v>111215</v>
      </c>
      <c r="T126" s="175">
        <v>0.13400000000000001</v>
      </c>
      <c r="U126" s="175">
        <v>0.192</v>
      </c>
    </row>
    <row r="127" spans="1:21">
      <c r="B127" t="s">
        <v>20</v>
      </c>
      <c r="C127">
        <v>2833</v>
      </c>
      <c r="D127">
        <v>101161</v>
      </c>
      <c r="T127" s="175">
        <v>0.14099999999999999</v>
      </c>
      <c r="U127" s="175">
        <v>0.17399999999999999</v>
      </c>
    </row>
    <row r="128" spans="1:21">
      <c r="B128" t="s">
        <v>19</v>
      </c>
      <c r="C128">
        <v>2009</v>
      </c>
      <c r="D128">
        <v>101652</v>
      </c>
      <c r="T128" s="175">
        <v>0.1</v>
      </c>
      <c r="U128" s="175">
        <v>0.17499999999999999</v>
      </c>
    </row>
    <row r="129" spans="1:21">
      <c r="B129" t="s">
        <v>34</v>
      </c>
      <c r="C129">
        <v>402</v>
      </c>
      <c r="D129">
        <v>29666</v>
      </c>
      <c r="T129" s="175">
        <v>0.02</v>
      </c>
      <c r="U129" s="175">
        <v>5.0999999999999997E-2</v>
      </c>
    </row>
    <row r="130" spans="1:21">
      <c r="F130" s="175"/>
    </row>
    <row r="141" spans="1:21" ht="17" thickBot="1"/>
    <row r="142" spans="1:21">
      <c r="B142" s="243" t="s">
        <v>37</v>
      </c>
      <c r="C142" s="244"/>
      <c r="D142" s="243" t="s">
        <v>37</v>
      </c>
      <c r="E142" s="244"/>
      <c r="F142" s="243" t="s">
        <v>37</v>
      </c>
      <c r="G142" s="249"/>
      <c r="H142" s="251"/>
      <c r="I142" s="251"/>
      <c r="L142" s="251"/>
      <c r="M142" s="251"/>
    </row>
    <row r="143" spans="1:21">
      <c r="B143" s="245"/>
      <c r="C143" s="246"/>
      <c r="D143" s="245"/>
      <c r="E143" s="246"/>
      <c r="F143" s="245"/>
      <c r="G143" s="250"/>
      <c r="H143" s="251"/>
      <c r="I143" s="251"/>
      <c r="L143" s="251"/>
      <c r="M143" s="251"/>
    </row>
    <row r="144" spans="1:21" ht="17" thickBot="1">
      <c r="A144" s="177" t="s">
        <v>18</v>
      </c>
      <c r="B144" s="5" t="s">
        <v>15</v>
      </c>
      <c r="C144" s="9" t="s">
        <v>42</v>
      </c>
      <c r="D144" s="5" t="s">
        <v>15</v>
      </c>
      <c r="E144" s="9" t="s">
        <v>55</v>
      </c>
      <c r="F144" s="5" t="s">
        <v>15</v>
      </c>
      <c r="G144" s="7" t="s">
        <v>56</v>
      </c>
      <c r="H144" s="80"/>
      <c r="I144" s="80"/>
      <c r="L144" s="80"/>
      <c r="M144" s="80"/>
    </row>
    <row r="145" spans="1:13">
      <c r="A145" t="s">
        <v>33</v>
      </c>
      <c r="B145" s="14">
        <v>57</v>
      </c>
      <c r="C145" s="15"/>
      <c r="D145" s="14">
        <v>35</v>
      </c>
      <c r="E145" s="15">
        <v>2.4</v>
      </c>
      <c r="F145" s="14">
        <v>21</v>
      </c>
      <c r="G145" s="15">
        <v>3.6</v>
      </c>
      <c r="L145" s="170"/>
      <c r="M145" s="170"/>
    </row>
    <row r="146" spans="1:13">
      <c r="A146" t="s">
        <v>30</v>
      </c>
      <c r="B146" s="13">
        <v>99</v>
      </c>
      <c r="C146" s="15">
        <v>3.18021201413428</v>
      </c>
      <c r="D146" s="13">
        <v>76</v>
      </c>
      <c r="E146" s="15">
        <v>2.4413748795374199</v>
      </c>
      <c r="F146" s="14">
        <v>23</v>
      </c>
      <c r="G146" s="15">
        <v>0.73883713459685196</v>
      </c>
      <c r="H146" s="13"/>
      <c r="I146" s="15"/>
      <c r="L146" s="13"/>
      <c r="M146" s="15"/>
    </row>
    <row r="147" spans="1:13">
      <c r="A147" t="s">
        <v>29</v>
      </c>
      <c r="B147" s="28">
        <v>30</v>
      </c>
      <c r="C147" s="29">
        <v>1.3</v>
      </c>
      <c r="D147" s="28">
        <v>28</v>
      </c>
      <c r="E147" s="29">
        <v>1.8</v>
      </c>
      <c r="F147" s="28" t="s">
        <v>31</v>
      </c>
      <c r="G147" s="29">
        <v>0.3</v>
      </c>
      <c r="H147" s="13"/>
      <c r="I147" s="15"/>
      <c r="L147" s="13"/>
      <c r="M147" s="15"/>
    </row>
    <row r="148" spans="1:13">
      <c r="A148" t="s">
        <v>20</v>
      </c>
      <c r="B148" s="24">
        <v>70</v>
      </c>
      <c r="C148" s="23">
        <v>3.2940999999999998</v>
      </c>
      <c r="D148" s="24">
        <v>56</v>
      </c>
      <c r="E148" s="23">
        <v>3.8304</v>
      </c>
      <c r="F148" s="24">
        <v>14</v>
      </c>
      <c r="G148" s="23">
        <v>2.1116000000000001</v>
      </c>
      <c r="H148" s="14"/>
      <c r="I148" s="15"/>
      <c r="L148" s="14"/>
      <c r="M148" s="15"/>
    </row>
    <row r="149" spans="1:13">
      <c r="A149" t="s">
        <v>19</v>
      </c>
      <c r="B149" s="104" t="s">
        <v>35</v>
      </c>
      <c r="C149" s="141" t="s">
        <v>35</v>
      </c>
      <c r="D149" s="84" t="s">
        <v>35</v>
      </c>
      <c r="E149" t="s">
        <v>35</v>
      </c>
      <c r="F149" s="84" t="s">
        <v>35</v>
      </c>
      <c r="G149" t="s">
        <v>35</v>
      </c>
      <c r="H149" s="14"/>
      <c r="I149" s="15"/>
      <c r="L149" s="14"/>
      <c r="M149" s="15"/>
    </row>
    <row r="150" spans="1:13">
      <c r="A150" t="s">
        <v>34</v>
      </c>
      <c r="B150" s="54">
        <v>12</v>
      </c>
      <c r="C150" s="55">
        <v>3.82</v>
      </c>
      <c r="D150" s="54">
        <v>7</v>
      </c>
      <c r="E150" s="55">
        <v>3.43</v>
      </c>
      <c r="F150" s="54">
        <v>5</v>
      </c>
      <c r="G150" s="55">
        <v>4.55</v>
      </c>
      <c r="H150" s="56"/>
      <c r="L150" s="56"/>
    </row>
    <row r="151" spans="1:13">
      <c r="D151" s="56"/>
    </row>
    <row r="166" spans="1:19">
      <c r="A166" s="177" t="s">
        <v>18</v>
      </c>
    </row>
    <row r="167" spans="1:19" ht="17" thickBot="1">
      <c r="A167" t="s">
        <v>33</v>
      </c>
      <c r="B167" s="83">
        <f>SUM(N173:N173)</f>
        <v>0</v>
      </c>
      <c r="C167" s="191"/>
      <c r="D167" s="65" t="s">
        <v>35</v>
      </c>
      <c r="E167" s="201"/>
      <c r="F167" s="14">
        <v>3</v>
      </c>
      <c r="G167" s="183">
        <v>3.5000000000000003E-2</v>
      </c>
    </row>
    <row r="168" spans="1:19">
      <c r="A168" t="s">
        <v>30</v>
      </c>
      <c r="B168" s="14">
        <v>27</v>
      </c>
      <c r="C168" s="192">
        <v>4.5075125208681101E-2</v>
      </c>
      <c r="D168" s="40">
        <v>23</v>
      </c>
      <c r="E168" s="192">
        <v>4.9000000000000002E-2</v>
      </c>
      <c r="F168" s="40">
        <v>4</v>
      </c>
      <c r="G168" s="183">
        <v>3.1E-2</v>
      </c>
    </row>
    <row r="169" spans="1:19">
      <c r="A169" t="s">
        <v>29</v>
      </c>
      <c r="B169" s="28">
        <v>41</v>
      </c>
      <c r="C169" s="193">
        <v>9.5000000000000001E-2</v>
      </c>
      <c r="D169" s="28">
        <v>23</v>
      </c>
      <c r="E169" s="197">
        <v>7.0999999999999994E-2</v>
      </c>
      <c r="F169" s="28">
        <v>18</v>
      </c>
      <c r="G169" s="199">
        <v>0.16800000000000001</v>
      </c>
    </row>
    <row r="170" spans="1:19">
      <c r="A170" t="s">
        <v>20</v>
      </c>
      <c r="B170" s="17">
        <v>89</v>
      </c>
      <c r="C170" s="194">
        <v>0.12570600000000001</v>
      </c>
      <c r="D170" s="17">
        <v>50</v>
      </c>
      <c r="E170" s="194">
        <v>9.0090000000000003E-2</v>
      </c>
      <c r="F170" s="17">
        <v>39</v>
      </c>
      <c r="G170" s="186">
        <v>0.25490200000000002</v>
      </c>
    </row>
    <row r="171" spans="1:19">
      <c r="A171" t="s">
        <v>19</v>
      </c>
      <c r="B171" s="17">
        <v>53</v>
      </c>
      <c r="C171" s="195">
        <v>0.105</v>
      </c>
      <c r="D171" s="17">
        <v>44</v>
      </c>
      <c r="E171" s="195">
        <v>0.11</v>
      </c>
      <c r="F171" s="17">
        <v>9</v>
      </c>
      <c r="G171" s="189">
        <v>8.4000000000000005E-2</v>
      </c>
    </row>
    <row r="172" spans="1:19">
      <c r="A172" t="s">
        <v>34</v>
      </c>
      <c r="B172" s="102">
        <v>7</v>
      </c>
      <c r="C172" s="196">
        <v>0.08</v>
      </c>
      <c r="D172" s="54">
        <v>6</v>
      </c>
      <c r="E172" s="198">
        <v>8.1000000000000003E-2</v>
      </c>
      <c r="F172" s="54">
        <v>1</v>
      </c>
      <c r="G172" s="200">
        <v>7.1400000000000005E-2</v>
      </c>
    </row>
    <row r="176" spans="1:19" ht="17" thickBot="1">
      <c r="B176" t="s">
        <v>42</v>
      </c>
      <c r="C176" t="s">
        <v>55</v>
      </c>
      <c r="D176" t="s">
        <v>56</v>
      </c>
      <c r="J176" t="s">
        <v>92</v>
      </c>
      <c r="K176" t="s">
        <v>88</v>
      </c>
      <c r="L176" t="s">
        <v>90</v>
      </c>
      <c r="Q176" t="s">
        <v>93</v>
      </c>
      <c r="R176" t="s">
        <v>89</v>
      </c>
      <c r="S176" t="s">
        <v>91</v>
      </c>
    </row>
    <row r="177" spans="2:22">
      <c r="C177" s="243" t="s">
        <v>5</v>
      </c>
      <c r="D177" s="244"/>
      <c r="E177" s="243" t="s">
        <v>5</v>
      </c>
      <c r="F177" s="244"/>
      <c r="G177" s="243" t="s">
        <v>5</v>
      </c>
      <c r="H177" s="244"/>
      <c r="J177" s="243" t="s">
        <v>23</v>
      </c>
      <c r="K177" s="244"/>
      <c r="L177" s="243" t="s">
        <v>23</v>
      </c>
      <c r="M177" s="244"/>
      <c r="N177" s="243" t="s">
        <v>23</v>
      </c>
      <c r="O177" s="244"/>
      <c r="Q177" s="243" t="s">
        <v>26</v>
      </c>
      <c r="R177" s="244"/>
      <c r="S177" s="243" t="s">
        <v>26</v>
      </c>
      <c r="T177" s="244"/>
      <c r="U177" s="243" t="s">
        <v>26</v>
      </c>
      <c r="V177" s="244"/>
    </row>
    <row r="178" spans="2:22">
      <c r="C178" s="245"/>
      <c r="D178" s="246"/>
      <c r="E178" s="245"/>
      <c r="F178" s="246"/>
      <c r="G178" s="245"/>
      <c r="H178" s="246"/>
      <c r="J178" s="245"/>
      <c r="K178" s="246"/>
      <c r="L178" s="245"/>
      <c r="M178" s="246"/>
      <c r="N178" s="245"/>
      <c r="O178" s="246"/>
      <c r="Q178" s="245"/>
      <c r="R178" s="246"/>
      <c r="S178" s="245"/>
      <c r="T178" s="246"/>
      <c r="U178" s="245"/>
      <c r="V178" s="246"/>
    </row>
    <row r="179" spans="2:22" ht="18" thickBot="1">
      <c r="C179" s="7" t="s">
        <v>15</v>
      </c>
      <c r="D179" s="9" t="s">
        <v>17</v>
      </c>
      <c r="E179" s="7" t="s">
        <v>15</v>
      </c>
      <c r="F179" s="9" t="s">
        <v>17</v>
      </c>
      <c r="G179" s="7" t="s">
        <v>15</v>
      </c>
      <c r="H179" s="9" t="s">
        <v>17</v>
      </c>
      <c r="J179" s="80" t="s">
        <v>15</v>
      </c>
      <c r="K179" s="80" t="s">
        <v>28</v>
      </c>
      <c r="L179" s="7" t="s">
        <v>15</v>
      </c>
      <c r="M179" s="9" t="s">
        <v>17</v>
      </c>
      <c r="N179" s="7" t="s">
        <v>15</v>
      </c>
      <c r="O179" s="9" t="s">
        <v>17</v>
      </c>
      <c r="Q179" s="7" t="s">
        <v>15</v>
      </c>
      <c r="R179" s="9" t="s">
        <v>28</v>
      </c>
      <c r="S179" s="7" t="s">
        <v>15</v>
      </c>
      <c r="T179" s="9" t="s">
        <v>28</v>
      </c>
      <c r="U179" s="7" t="s">
        <v>15</v>
      </c>
      <c r="V179" s="9" t="s">
        <v>28</v>
      </c>
    </row>
    <row r="180" spans="2:22" ht="17" thickBot="1">
      <c r="C180" s="14">
        <v>66</v>
      </c>
      <c r="D180" s="202">
        <v>2.7E-2</v>
      </c>
      <c r="E180" s="13">
        <v>35</v>
      </c>
      <c r="F180" s="187">
        <v>1.9E-2</v>
      </c>
      <c r="G180" s="13">
        <v>21</v>
      </c>
      <c r="H180" s="187">
        <v>3.1E-2</v>
      </c>
      <c r="J180" s="82"/>
      <c r="K180" s="205"/>
      <c r="L180" s="15" t="s">
        <v>35</v>
      </c>
      <c r="M180" s="187"/>
      <c r="N180" s="13">
        <v>0</v>
      </c>
      <c r="O180" s="187"/>
      <c r="Q180" s="14">
        <v>57</v>
      </c>
      <c r="R180" s="187"/>
      <c r="S180" s="14">
        <v>35</v>
      </c>
      <c r="T180" s="187">
        <v>2.4E-2</v>
      </c>
      <c r="U180" s="14">
        <v>21</v>
      </c>
      <c r="V180" s="187">
        <v>3.5999999999999997E-2</v>
      </c>
    </row>
    <row r="181" spans="2:22">
      <c r="C181" s="79">
        <v>105</v>
      </c>
      <c r="D181" s="187">
        <v>2.8000000000000001E-2</v>
      </c>
      <c r="E181" s="79">
        <v>82</v>
      </c>
      <c r="F181" s="187">
        <v>2.1999999999999999E-2</v>
      </c>
      <c r="G181" s="79">
        <v>23</v>
      </c>
      <c r="H181" s="187">
        <v>6.0000000000000001E-3</v>
      </c>
      <c r="J181" s="13">
        <v>6</v>
      </c>
      <c r="K181" s="187">
        <v>1.0016694490818E-2</v>
      </c>
      <c r="L181" s="13">
        <v>6</v>
      </c>
      <c r="M181" s="187">
        <v>1.0016694490818E-2</v>
      </c>
      <c r="N181" s="14">
        <v>0</v>
      </c>
      <c r="O181" s="187"/>
      <c r="Q181" s="13">
        <v>99</v>
      </c>
      <c r="R181" s="187">
        <v>3.1802120141342802E-2</v>
      </c>
      <c r="S181" s="13">
        <v>76</v>
      </c>
      <c r="T181" s="187">
        <v>2.44137487953742E-2</v>
      </c>
      <c r="U181" s="14">
        <v>23</v>
      </c>
      <c r="V181" s="187">
        <v>7.3883713459685198E-3</v>
      </c>
    </row>
    <row r="182" spans="2:22">
      <c r="C182" s="27">
        <v>46</v>
      </c>
      <c r="D182" s="190">
        <v>1.7000000000000001E-2</v>
      </c>
      <c r="E182" s="27">
        <v>44</v>
      </c>
      <c r="F182" s="190">
        <v>2.3E-2</v>
      </c>
      <c r="G182" s="27" t="s">
        <v>31</v>
      </c>
      <c r="H182" s="190">
        <v>3.0000000000000001E-3</v>
      </c>
      <c r="J182" s="31">
        <v>16</v>
      </c>
      <c r="K182" s="190">
        <v>3.6999999999999998E-2</v>
      </c>
      <c r="L182" s="27">
        <v>16</v>
      </c>
      <c r="M182" s="190">
        <v>4.9000000000000002E-2</v>
      </c>
      <c r="N182" s="27">
        <v>0</v>
      </c>
      <c r="O182" s="190"/>
      <c r="Q182" s="28">
        <v>30</v>
      </c>
      <c r="R182" s="207">
        <v>1.2999999999999999E-2</v>
      </c>
      <c r="S182" s="28">
        <v>28</v>
      </c>
      <c r="T182" s="207">
        <v>1.7999999999999999E-2</v>
      </c>
      <c r="U182" s="28" t="s">
        <v>31</v>
      </c>
      <c r="V182" s="207">
        <v>3.0000000000000001E-3</v>
      </c>
    </row>
    <row r="183" spans="2:22">
      <c r="C183" s="92">
        <v>108</v>
      </c>
      <c r="D183" s="203">
        <v>3.7999999999999999E-2</v>
      </c>
      <c r="E183" s="92">
        <v>90</v>
      </c>
      <c r="F183" s="203">
        <v>4.3999999999999997E-2</v>
      </c>
      <c r="G183" s="92">
        <v>18</v>
      </c>
      <c r="H183" s="203">
        <v>2.1999999999999999E-2</v>
      </c>
      <c r="J183" s="46">
        <v>38</v>
      </c>
      <c r="K183" s="203">
        <v>5.3671999999999997E-2</v>
      </c>
      <c r="L183" s="92">
        <v>34</v>
      </c>
      <c r="M183" s="203">
        <v>6.1261000000000003E-2</v>
      </c>
      <c r="N183" s="92">
        <v>4</v>
      </c>
      <c r="O183" s="203">
        <v>2.6144000000000001E-2</v>
      </c>
      <c r="Q183" s="24">
        <v>70</v>
      </c>
      <c r="R183" s="203">
        <v>3.2940999999999998E-2</v>
      </c>
      <c r="S183" s="24">
        <v>56</v>
      </c>
      <c r="T183" s="203">
        <v>3.8303999999999998E-2</v>
      </c>
      <c r="U183" s="24">
        <v>14</v>
      </c>
      <c r="V183" s="203">
        <v>2.1115999999999999E-2</v>
      </c>
    </row>
    <row r="184" spans="2:22">
      <c r="C184" s="128">
        <v>75</v>
      </c>
      <c r="D184" s="204">
        <v>3.6999999999999998E-2</v>
      </c>
      <c r="E184" s="92">
        <v>57</v>
      </c>
      <c r="F184" s="203">
        <v>0.04</v>
      </c>
      <c r="G184" s="92">
        <v>18</v>
      </c>
      <c r="H184" s="203">
        <v>0.03</v>
      </c>
      <c r="J184" s="84" t="s">
        <v>35</v>
      </c>
      <c r="K184" s="175"/>
      <c r="L184" s="84" t="s">
        <v>35</v>
      </c>
      <c r="M184" s="175" t="s">
        <v>35</v>
      </c>
      <c r="N184" s="84" t="s">
        <v>35</v>
      </c>
      <c r="O184" s="175" t="s">
        <v>35</v>
      </c>
      <c r="Q184" s="104" t="s">
        <v>35</v>
      </c>
      <c r="R184" s="208" t="s">
        <v>35</v>
      </c>
      <c r="S184" s="84" t="s">
        <v>35</v>
      </c>
      <c r="T184" s="175" t="s">
        <v>35</v>
      </c>
      <c r="U184" s="84" t="s">
        <v>35</v>
      </c>
      <c r="V184" s="175" t="s">
        <v>35</v>
      </c>
    </row>
    <row r="185" spans="2:22">
      <c r="C185">
        <v>12</v>
      </c>
      <c r="D185" s="175">
        <v>0.03</v>
      </c>
      <c r="E185">
        <v>7</v>
      </c>
      <c r="F185" s="175">
        <v>2.5999999999999999E-2</v>
      </c>
      <c r="G185">
        <v>5</v>
      </c>
      <c r="H185" s="175">
        <v>0.04</v>
      </c>
      <c r="J185" s="102">
        <v>0</v>
      </c>
      <c r="K185" s="206">
        <v>0</v>
      </c>
      <c r="L185" s="54">
        <v>0</v>
      </c>
      <c r="M185" s="209">
        <v>0</v>
      </c>
      <c r="N185" s="54">
        <v>0</v>
      </c>
      <c r="O185" s="209"/>
      <c r="Q185" s="54">
        <v>12</v>
      </c>
      <c r="R185" s="209">
        <v>3.8199999999999998E-2</v>
      </c>
      <c r="S185" s="54">
        <v>7</v>
      </c>
      <c r="T185" s="209">
        <v>3.4299999999999997E-2</v>
      </c>
      <c r="U185" s="54">
        <v>5</v>
      </c>
      <c r="V185" s="209">
        <v>4.5499999999999999E-2</v>
      </c>
    </row>
    <row r="187" spans="2:22" ht="17" thickBot="1">
      <c r="B187" t="s">
        <v>42</v>
      </c>
      <c r="C187" t="s">
        <v>86</v>
      </c>
      <c r="D187" t="s">
        <v>87</v>
      </c>
      <c r="J187" t="s">
        <v>42</v>
      </c>
      <c r="K187" t="s">
        <v>86</v>
      </c>
      <c r="L187" t="s">
        <v>87</v>
      </c>
      <c r="M187" t="s">
        <v>55</v>
      </c>
      <c r="Q187" t="s">
        <v>42</v>
      </c>
      <c r="R187" t="s">
        <v>86</v>
      </c>
      <c r="S187" t="s">
        <v>87</v>
      </c>
      <c r="T187" t="s">
        <v>56</v>
      </c>
    </row>
    <row r="188" spans="2:22">
      <c r="C188" s="243" t="s">
        <v>5</v>
      </c>
      <c r="D188" s="244"/>
      <c r="E188" s="243" t="s">
        <v>23</v>
      </c>
      <c r="F188" s="244"/>
      <c r="G188" s="243" t="s">
        <v>26</v>
      </c>
      <c r="H188" s="244"/>
      <c r="J188" s="243" t="s">
        <v>5</v>
      </c>
      <c r="K188" s="244"/>
      <c r="L188" s="243" t="s">
        <v>23</v>
      </c>
      <c r="M188" s="244"/>
      <c r="N188" s="243" t="s">
        <v>26</v>
      </c>
      <c r="O188" s="244"/>
      <c r="Q188" s="243" t="s">
        <v>5</v>
      </c>
      <c r="R188" s="244"/>
      <c r="S188" s="243" t="s">
        <v>23</v>
      </c>
      <c r="T188" s="244"/>
      <c r="U188" s="243" t="s">
        <v>26</v>
      </c>
      <c r="V188" s="244"/>
    </row>
    <row r="189" spans="2:22">
      <c r="C189" s="245"/>
      <c r="D189" s="246"/>
      <c r="E189" s="245"/>
      <c r="F189" s="246"/>
      <c r="G189" s="245"/>
      <c r="H189" s="246"/>
      <c r="J189" s="245"/>
      <c r="K189" s="246"/>
      <c r="L189" s="245"/>
      <c r="M189" s="246"/>
      <c r="N189" s="245"/>
      <c r="O189" s="246"/>
      <c r="Q189" s="245"/>
      <c r="R189" s="246"/>
      <c r="S189" s="245"/>
      <c r="T189" s="246"/>
      <c r="U189" s="245"/>
      <c r="V189" s="246"/>
    </row>
    <row r="190" spans="2:22" ht="18" thickBot="1">
      <c r="B190" s="177" t="s">
        <v>18</v>
      </c>
      <c r="C190" s="7" t="s">
        <v>15</v>
      </c>
      <c r="D190" s="9" t="s">
        <v>17</v>
      </c>
      <c r="E190" s="80" t="s">
        <v>15</v>
      </c>
      <c r="F190" s="9" t="s">
        <v>17</v>
      </c>
      <c r="G190" s="7" t="s">
        <v>15</v>
      </c>
      <c r="H190" s="9" t="s">
        <v>17</v>
      </c>
      <c r="J190" s="7" t="s">
        <v>15</v>
      </c>
      <c r="K190" s="9" t="s">
        <v>17</v>
      </c>
      <c r="L190" s="7" t="s">
        <v>15</v>
      </c>
      <c r="M190" s="9" t="s">
        <v>17</v>
      </c>
      <c r="N190" s="7" t="s">
        <v>15</v>
      </c>
      <c r="O190" s="9" t="s">
        <v>28</v>
      </c>
      <c r="Q190" s="7" t="s">
        <v>15</v>
      </c>
      <c r="R190" s="9" t="s">
        <v>17</v>
      </c>
      <c r="S190" s="7" t="s">
        <v>15</v>
      </c>
      <c r="T190" s="9" t="s">
        <v>17</v>
      </c>
      <c r="U190" s="7" t="s">
        <v>15</v>
      </c>
      <c r="V190" s="9" t="s">
        <v>28</v>
      </c>
    </row>
    <row r="191" spans="2:22" ht="17" thickBot="1">
      <c r="B191" t="s">
        <v>33</v>
      </c>
      <c r="C191" s="14">
        <v>66</v>
      </c>
      <c r="D191" s="202">
        <v>2.7E-2</v>
      </c>
      <c r="E191" s="82">
        <v>9</v>
      </c>
      <c r="F191" s="205"/>
      <c r="G191" s="14">
        <v>57</v>
      </c>
      <c r="H191" s="187"/>
      <c r="J191" s="13">
        <v>35</v>
      </c>
      <c r="K191" s="187">
        <v>1.9E-2</v>
      </c>
      <c r="L191" s="15" t="s">
        <v>35</v>
      </c>
      <c r="M191" s="187"/>
      <c r="N191" s="14">
        <v>35</v>
      </c>
      <c r="O191" s="187">
        <v>2.4E-2</v>
      </c>
      <c r="Q191" s="13">
        <v>21</v>
      </c>
      <c r="R191" s="187">
        <v>3.1E-2</v>
      </c>
      <c r="S191" s="13">
        <v>0</v>
      </c>
      <c r="T191" s="187"/>
      <c r="U191" s="14">
        <v>21</v>
      </c>
      <c r="V191" s="187">
        <v>3.5999999999999997E-2</v>
      </c>
    </row>
    <row r="192" spans="2:22">
      <c r="B192" t="s">
        <v>30</v>
      </c>
      <c r="C192" s="79">
        <v>105</v>
      </c>
      <c r="D192" s="187">
        <v>2.8000000000000001E-2</v>
      </c>
      <c r="E192" s="13">
        <v>6</v>
      </c>
      <c r="F192" s="187">
        <v>1.0016694490818E-2</v>
      </c>
      <c r="G192" s="13">
        <v>99</v>
      </c>
      <c r="H192" s="187">
        <v>3.1802120141342802E-2</v>
      </c>
      <c r="J192" s="79">
        <v>82</v>
      </c>
      <c r="K192" s="187">
        <v>2.2090517241379299E-2</v>
      </c>
      <c r="L192" s="13">
        <v>6</v>
      </c>
      <c r="M192" s="187">
        <v>1.0016694490818E-2</v>
      </c>
      <c r="N192" s="13">
        <v>76</v>
      </c>
      <c r="O192" s="187">
        <v>2.44137487953742E-2</v>
      </c>
      <c r="Q192" s="79">
        <v>23</v>
      </c>
      <c r="R192" s="187">
        <v>6.1961206896551701E-3</v>
      </c>
      <c r="S192" s="14">
        <v>0</v>
      </c>
      <c r="T192" s="187"/>
      <c r="U192" s="14">
        <v>23</v>
      </c>
      <c r="V192" s="187">
        <v>7.3883713459685198E-3</v>
      </c>
    </row>
    <row r="193" spans="2:22">
      <c r="B193" t="s">
        <v>29</v>
      </c>
      <c r="C193" s="27">
        <v>46</v>
      </c>
      <c r="D193" s="190">
        <v>1.7000000000000001E-2</v>
      </c>
      <c r="E193" s="31">
        <v>16</v>
      </c>
      <c r="F193" s="190">
        <v>3.6999999999999998E-2</v>
      </c>
      <c r="G193" s="28">
        <v>30</v>
      </c>
      <c r="H193" s="207">
        <v>1.2999999999999999E-2</v>
      </c>
      <c r="J193" s="27">
        <v>44</v>
      </c>
      <c r="K193" s="190">
        <v>2.3E-2</v>
      </c>
      <c r="L193" s="27">
        <v>16</v>
      </c>
      <c r="M193" s="190">
        <v>4.9000000000000002E-2</v>
      </c>
      <c r="N193" s="28">
        <v>28</v>
      </c>
      <c r="O193" s="207">
        <v>1.7999999999999999E-2</v>
      </c>
      <c r="Q193" s="27" t="s">
        <v>31</v>
      </c>
      <c r="R193" s="190">
        <v>3.0000000000000001E-3</v>
      </c>
      <c r="S193" s="27">
        <v>0</v>
      </c>
      <c r="T193" s="190"/>
      <c r="U193" s="28" t="s">
        <v>31</v>
      </c>
      <c r="V193" s="207">
        <v>3.0000000000000001E-3</v>
      </c>
    </row>
    <row r="194" spans="2:22">
      <c r="B194" t="s">
        <v>20</v>
      </c>
      <c r="C194" s="92">
        <v>108</v>
      </c>
      <c r="D194" s="203">
        <v>3.7999999999999999E-2</v>
      </c>
      <c r="E194" s="46">
        <v>38</v>
      </c>
      <c r="F194" s="203">
        <v>5.3671999999999997E-2</v>
      </c>
      <c r="G194" s="24">
        <v>70</v>
      </c>
      <c r="H194" s="203">
        <v>3.2940999999999998E-2</v>
      </c>
      <c r="J194" s="92">
        <v>90</v>
      </c>
      <c r="K194" s="203">
        <v>4.4621000000000001E-2</v>
      </c>
      <c r="L194" s="92">
        <v>34</v>
      </c>
      <c r="M194" s="203">
        <v>6.1261000000000003E-2</v>
      </c>
      <c r="N194" s="24">
        <v>56</v>
      </c>
      <c r="O194" s="203">
        <v>3.8303999999999998E-2</v>
      </c>
      <c r="Q194" s="92">
        <v>18</v>
      </c>
      <c r="R194" s="203">
        <v>2.2058999999999999E-2</v>
      </c>
      <c r="S194" s="92">
        <v>4</v>
      </c>
      <c r="T194" s="203">
        <v>2.6144000000000001E-2</v>
      </c>
      <c r="U194" s="24">
        <v>14</v>
      </c>
      <c r="V194" s="203">
        <v>2.1115999999999999E-2</v>
      </c>
    </row>
    <row r="195" spans="2:22">
      <c r="B195" t="s">
        <v>19</v>
      </c>
      <c r="C195" s="128">
        <v>75</v>
      </c>
      <c r="D195" s="204">
        <v>3.6999999999999998E-2</v>
      </c>
      <c r="E195" s="84" t="s">
        <v>35</v>
      </c>
      <c r="F195" s="175"/>
      <c r="G195" s="104" t="s">
        <v>35</v>
      </c>
      <c r="H195" s="208" t="s">
        <v>35</v>
      </c>
      <c r="J195" s="92">
        <v>57</v>
      </c>
      <c r="K195" s="203">
        <v>4.0425999999999997E-2</v>
      </c>
      <c r="L195" s="84" t="s">
        <v>35</v>
      </c>
      <c r="M195" s="175" t="s">
        <v>35</v>
      </c>
      <c r="N195" s="84" t="s">
        <v>35</v>
      </c>
      <c r="O195" s="175" t="s">
        <v>35</v>
      </c>
      <c r="Q195" s="92">
        <v>18</v>
      </c>
      <c r="R195" s="203">
        <v>3.005E-2</v>
      </c>
      <c r="S195" s="84" t="s">
        <v>35</v>
      </c>
      <c r="T195" s="175" t="s">
        <v>35</v>
      </c>
      <c r="U195" s="84" t="s">
        <v>35</v>
      </c>
      <c r="V195" s="175" t="s">
        <v>35</v>
      </c>
    </row>
    <row r="196" spans="2:22">
      <c r="B196" t="s">
        <v>34</v>
      </c>
      <c r="C196">
        <v>12</v>
      </c>
      <c r="D196" s="175">
        <v>0.03</v>
      </c>
      <c r="E196" s="102">
        <v>0</v>
      </c>
      <c r="F196" s="206">
        <v>0</v>
      </c>
      <c r="G196" s="54">
        <v>12</v>
      </c>
      <c r="H196" s="209">
        <v>3.8199999999999998E-2</v>
      </c>
      <c r="J196">
        <v>7</v>
      </c>
      <c r="K196" s="175">
        <v>2.5999999999999999E-2</v>
      </c>
      <c r="L196" s="54">
        <v>0</v>
      </c>
      <c r="M196" s="209">
        <v>0</v>
      </c>
      <c r="N196" s="54">
        <v>7</v>
      </c>
      <c r="O196" s="209">
        <v>3.4299999999999997E-2</v>
      </c>
      <c r="Q196">
        <v>5</v>
      </c>
      <c r="R196" s="175">
        <v>0.04</v>
      </c>
      <c r="S196" s="54">
        <v>0</v>
      </c>
      <c r="T196" s="209"/>
      <c r="U196" s="54">
        <v>5</v>
      </c>
      <c r="V196" s="209">
        <v>4.5499999999999999E-2</v>
      </c>
    </row>
    <row r="225" spans="1:14" ht="19">
      <c r="A225" s="242" t="s">
        <v>141</v>
      </c>
    </row>
    <row r="226" spans="1:14">
      <c r="A226" t="s">
        <v>18</v>
      </c>
      <c r="B226" t="s">
        <v>42</v>
      </c>
      <c r="C226" t="s">
        <v>137</v>
      </c>
      <c r="D226" t="s">
        <v>56</v>
      </c>
      <c r="E226" t="s">
        <v>142</v>
      </c>
      <c r="F226" t="s">
        <v>138</v>
      </c>
      <c r="G226" t="s">
        <v>139</v>
      </c>
      <c r="H226" t="s">
        <v>140</v>
      </c>
    </row>
    <row r="227" spans="1:14">
      <c r="A227" t="s">
        <v>33</v>
      </c>
      <c r="B227" s="202">
        <f>F227/E227</f>
        <v>2.75E-2</v>
      </c>
      <c r="C227" s="187">
        <f>G227/E227</f>
        <v>1.4583333333333334E-2</v>
      </c>
      <c r="D227" s="187">
        <f>H227/E227</f>
        <v>8.7500000000000008E-3</v>
      </c>
      <c r="E227" s="41">
        <v>2400</v>
      </c>
      <c r="F227" s="14">
        <v>66</v>
      </c>
      <c r="G227" s="13">
        <v>35</v>
      </c>
      <c r="H227" s="13">
        <v>21</v>
      </c>
    </row>
    <row r="228" spans="1:14">
      <c r="A228" t="s">
        <v>30</v>
      </c>
      <c r="B228" s="202">
        <f t="shared" ref="B228:B232" si="0">F228/E228</f>
        <v>2.8286637931034482E-2</v>
      </c>
      <c r="C228" s="187">
        <f t="shared" ref="C228:C232" si="1">G228/E228</f>
        <v>2.2090517241379309E-2</v>
      </c>
      <c r="D228" s="187">
        <f t="shared" ref="D228:D232" si="2">H228/E228</f>
        <v>6.1961206896551727E-3</v>
      </c>
      <c r="E228" s="79">
        <v>3712</v>
      </c>
      <c r="F228" s="79">
        <v>105</v>
      </c>
      <c r="G228" s="79">
        <v>82</v>
      </c>
      <c r="H228" s="79">
        <v>23</v>
      </c>
    </row>
    <row r="229" spans="1:14">
      <c r="A229" t="s">
        <v>29</v>
      </c>
      <c r="B229" s="202">
        <f t="shared" si="0"/>
        <v>1.7151379567486951E-2</v>
      </c>
      <c r="C229" s="187">
        <f t="shared" si="1"/>
        <v>1.6405667412378821E-2</v>
      </c>
      <c r="D229" s="187">
        <f t="shared" si="2"/>
        <v>1.1185682326621924E-3</v>
      </c>
      <c r="E229" s="79">
        <v>2682</v>
      </c>
      <c r="F229" s="27">
        <v>46</v>
      </c>
      <c r="G229" s="27">
        <v>44</v>
      </c>
      <c r="H229" s="27">
        <v>3</v>
      </c>
    </row>
    <row r="230" spans="1:14">
      <c r="A230" t="s">
        <v>20</v>
      </c>
      <c r="B230" s="202">
        <f t="shared" si="0"/>
        <v>3.8122132015531239E-2</v>
      </c>
      <c r="C230" s="187">
        <f t="shared" si="1"/>
        <v>3.1768443346276029E-2</v>
      </c>
      <c r="D230" s="187">
        <f t="shared" si="2"/>
        <v>6.3536886692552065E-3</v>
      </c>
      <c r="E230" s="16">
        <v>2833</v>
      </c>
      <c r="F230" s="92">
        <v>108</v>
      </c>
      <c r="G230" s="92">
        <v>90</v>
      </c>
      <c r="H230" s="92">
        <v>18</v>
      </c>
    </row>
    <row r="231" spans="1:14">
      <c r="A231" t="s">
        <v>19</v>
      </c>
      <c r="B231" s="202">
        <f t="shared" si="0"/>
        <v>3.7332005973120953E-2</v>
      </c>
      <c r="C231" s="187">
        <f t="shared" si="1"/>
        <v>2.8372324539571926E-2</v>
      </c>
      <c r="D231" s="187">
        <f t="shared" si="2"/>
        <v>8.9596814335490289E-3</v>
      </c>
      <c r="E231" s="121">
        <v>2009</v>
      </c>
      <c r="F231" s="128">
        <v>75</v>
      </c>
      <c r="G231" s="92">
        <v>57</v>
      </c>
      <c r="H231" s="92">
        <v>18</v>
      </c>
    </row>
    <row r="232" spans="1:14">
      <c r="A232" t="s">
        <v>34</v>
      </c>
      <c r="B232" s="202">
        <f t="shared" si="0"/>
        <v>2.9850746268656716E-2</v>
      </c>
      <c r="C232" s="187">
        <f t="shared" si="1"/>
        <v>1.7412935323383085E-2</v>
      </c>
      <c r="D232" s="187">
        <f t="shared" si="2"/>
        <v>1.2437810945273632E-2</v>
      </c>
      <c r="E232">
        <v>402</v>
      </c>
      <c r="F232">
        <v>12</v>
      </c>
      <c r="G232">
        <v>7</v>
      </c>
      <c r="H232">
        <v>5</v>
      </c>
    </row>
    <row r="236" spans="1:14">
      <c r="A236" t="s">
        <v>143</v>
      </c>
    </row>
    <row r="237" spans="1:14">
      <c r="A237" t="s">
        <v>18</v>
      </c>
      <c r="B237" t="s">
        <v>42</v>
      </c>
      <c r="C237" t="s">
        <v>137</v>
      </c>
      <c r="D237" t="s">
        <v>56</v>
      </c>
      <c r="E237" t="s">
        <v>142</v>
      </c>
      <c r="F237" t="s">
        <v>138</v>
      </c>
      <c r="G237" t="s">
        <v>139</v>
      </c>
      <c r="H237" t="s">
        <v>140</v>
      </c>
    </row>
    <row r="238" spans="1:14">
      <c r="B238" s="202"/>
      <c r="C238" s="187"/>
      <c r="D238" s="187"/>
      <c r="E238" s="41"/>
      <c r="H238" s="170"/>
    </row>
    <row r="239" spans="1:14">
      <c r="A239" t="s">
        <v>30</v>
      </c>
      <c r="B239" s="202">
        <f t="shared" ref="B239:B243" si="3">F239/E239</f>
        <v>0.99272629310344829</v>
      </c>
      <c r="C239" s="187">
        <f t="shared" ref="C239:C243" si="4">G239/E239</f>
        <v>0.7109375</v>
      </c>
      <c r="D239" s="187">
        <f t="shared" ref="D239:D243" si="5">H239/E239</f>
        <v>0.28178879310344829</v>
      </c>
      <c r="E239" s="79">
        <v>3712</v>
      </c>
      <c r="F239" s="13">
        <v>3685</v>
      </c>
      <c r="G239" s="13">
        <v>2639</v>
      </c>
      <c r="H239" s="13">
        <v>1046</v>
      </c>
    </row>
    <row r="240" spans="1:14">
      <c r="A240" t="s">
        <v>29</v>
      </c>
      <c r="B240" s="202">
        <f t="shared" si="3"/>
        <v>0.9847129008202834</v>
      </c>
      <c r="C240" s="187">
        <f t="shared" si="4"/>
        <v>0.69910514541387025</v>
      </c>
      <c r="D240" s="187">
        <f t="shared" si="5"/>
        <v>0.28560775540641314</v>
      </c>
      <c r="E240" s="79">
        <v>2682</v>
      </c>
      <c r="F240" s="13">
        <v>2641</v>
      </c>
      <c r="G240" s="31">
        <v>1875</v>
      </c>
      <c r="H240" s="31">
        <v>766</v>
      </c>
      <c r="L240" s="173"/>
      <c r="M240" s="173"/>
      <c r="N240" s="173"/>
    </row>
    <row r="241" spans="1:18">
      <c r="A241" t="s">
        <v>20</v>
      </c>
      <c r="B241" s="202">
        <f t="shared" si="3"/>
        <v>0.96858453935757149</v>
      </c>
      <c r="C241" s="187">
        <f t="shared" si="4"/>
        <v>0.69431697846805507</v>
      </c>
      <c r="D241" s="187">
        <f t="shared" si="5"/>
        <v>0.27426756088951643</v>
      </c>
      <c r="E241" s="16">
        <v>2833</v>
      </c>
      <c r="F241" s="24">
        <v>2744</v>
      </c>
      <c r="G241" s="24">
        <v>1967</v>
      </c>
      <c r="H241" s="24">
        <v>777</v>
      </c>
      <c r="L241" s="173"/>
      <c r="M241" s="173"/>
      <c r="N241" s="173"/>
    </row>
    <row r="242" spans="1:18">
      <c r="A242" t="s">
        <v>19</v>
      </c>
      <c r="B242" s="202">
        <f t="shared" si="3"/>
        <v>0.9736187157789945</v>
      </c>
      <c r="C242" s="187">
        <f t="shared" si="4"/>
        <v>0.679940268790443</v>
      </c>
      <c r="D242" s="187">
        <f t="shared" si="5"/>
        <v>0.2936784469885515</v>
      </c>
      <c r="E242" s="121">
        <v>2009</v>
      </c>
      <c r="F242" s="121">
        <v>1956</v>
      </c>
      <c r="G242" s="24">
        <v>1366</v>
      </c>
      <c r="H242" s="24">
        <v>590</v>
      </c>
      <c r="L242" s="173"/>
      <c r="M242" s="173"/>
      <c r="N242" s="173"/>
    </row>
    <row r="243" spans="1:18">
      <c r="A243" t="s">
        <v>34</v>
      </c>
      <c r="B243" s="202">
        <f t="shared" si="3"/>
        <v>0.98258706467661694</v>
      </c>
      <c r="C243" s="187">
        <f t="shared" si="4"/>
        <v>0.6766169154228856</v>
      </c>
      <c r="D243" s="187">
        <f t="shared" si="5"/>
        <v>0.30597014925373134</v>
      </c>
      <c r="E243">
        <v>402</v>
      </c>
      <c r="F243">
        <v>395</v>
      </c>
      <c r="G243">
        <v>272</v>
      </c>
      <c r="H243">
        <v>123</v>
      </c>
      <c r="L243" s="173"/>
      <c r="M243" s="173"/>
      <c r="N243" s="173"/>
    </row>
    <row r="244" spans="1:18">
      <c r="L244" s="173"/>
      <c r="M244" s="173"/>
      <c r="N244" s="173"/>
    </row>
    <row r="245" spans="1:18">
      <c r="A245" t="s">
        <v>144</v>
      </c>
      <c r="L245" s="173"/>
      <c r="M245" s="173"/>
      <c r="N245" s="173"/>
    </row>
    <row r="246" spans="1:18">
      <c r="A246" t="s">
        <v>18</v>
      </c>
      <c r="B246" t="s">
        <v>42</v>
      </c>
      <c r="C246" t="s">
        <v>137</v>
      </c>
      <c r="D246" t="s">
        <v>56</v>
      </c>
      <c r="E246" t="s">
        <v>142</v>
      </c>
      <c r="F246" t="s">
        <v>138</v>
      </c>
      <c r="G246" t="s">
        <v>139</v>
      </c>
      <c r="H246" t="s">
        <v>140</v>
      </c>
    </row>
    <row r="247" spans="1:18" ht="17" thickBot="1">
      <c r="B247" s="202"/>
      <c r="C247" s="187"/>
      <c r="D247" s="187"/>
      <c r="E247" s="41"/>
      <c r="F247" s="83"/>
      <c r="G247" s="65"/>
      <c r="H247" s="13"/>
    </row>
    <row r="248" spans="1:18">
      <c r="A248" t="s">
        <v>30</v>
      </c>
      <c r="B248" s="202">
        <f t="shared" ref="B248:B252" si="6">F248/E248</f>
        <v>0.15409482758620691</v>
      </c>
      <c r="C248" s="187">
        <f t="shared" ref="C248:C252" si="7">G248/E248</f>
        <v>0.12042025862068965</v>
      </c>
      <c r="D248" s="187">
        <f t="shared" ref="D248:D252" si="8">H248/E248</f>
        <v>3.3674568965517244E-2</v>
      </c>
      <c r="E248" s="79">
        <v>3712</v>
      </c>
      <c r="F248" s="13">
        <v>572</v>
      </c>
      <c r="G248" s="40">
        <v>447</v>
      </c>
      <c r="H248" s="40">
        <v>125</v>
      </c>
    </row>
    <row r="249" spans="1:18">
      <c r="A249" t="s">
        <v>29</v>
      </c>
      <c r="B249" s="202">
        <f t="shared" si="6"/>
        <v>0.14615958240119314</v>
      </c>
      <c r="C249" s="187">
        <f t="shared" si="7"/>
        <v>0.11297539149888143</v>
      </c>
      <c r="D249" s="187">
        <f t="shared" si="8"/>
        <v>3.3184190902311707E-2</v>
      </c>
      <c r="E249" s="79">
        <v>2682</v>
      </c>
      <c r="F249" s="28">
        <v>392</v>
      </c>
      <c r="G249" s="28">
        <v>303</v>
      </c>
      <c r="H249" s="28">
        <v>89</v>
      </c>
    </row>
    <row r="250" spans="1:18">
      <c r="A250" t="s">
        <v>20</v>
      </c>
      <c r="B250" s="202">
        <f t="shared" si="6"/>
        <v>0.21849629368160961</v>
      </c>
      <c r="C250" s="187">
        <f t="shared" si="7"/>
        <v>0.17825626544299331</v>
      </c>
      <c r="D250" s="187">
        <f t="shared" si="8"/>
        <v>4.0240028238616304E-2</v>
      </c>
      <c r="E250" s="16">
        <v>2833</v>
      </c>
      <c r="F250" s="24">
        <v>619</v>
      </c>
      <c r="G250" s="24">
        <v>505</v>
      </c>
      <c r="H250" s="24">
        <v>114</v>
      </c>
      <c r="K250" t="s">
        <v>18</v>
      </c>
      <c r="L250" t="s">
        <v>42</v>
      </c>
      <c r="M250" t="s">
        <v>137</v>
      </c>
      <c r="N250" t="s">
        <v>56</v>
      </c>
      <c r="O250" t="s">
        <v>142</v>
      </c>
      <c r="P250" t="s">
        <v>138</v>
      </c>
      <c r="Q250" t="s">
        <v>139</v>
      </c>
      <c r="R250" t="s">
        <v>140</v>
      </c>
    </row>
    <row r="251" spans="1:18">
      <c r="A251" t="s">
        <v>19</v>
      </c>
      <c r="B251" s="202">
        <f t="shared" si="6"/>
        <v>0.22548531607765057</v>
      </c>
      <c r="C251" s="187">
        <f t="shared" si="7"/>
        <v>0.17670482827277254</v>
      </c>
      <c r="D251" s="187">
        <f t="shared" si="8"/>
        <v>4.878048780487805E-2</v>
      </c>
      <c r="E251" s="121">
        <v>2009</v>
      </c>
      <c r="F251" s="24">
        <v>453</v>
      </c>
      <c r="G251" s="24">
        <v>355</v>
      </c>
      <c r="H251" s="24">
        <v>98</v>
      </c>
      <c r="K251" t="s">
        <v>33</v>
      </c>
      <c r="L251" s="202">
        <f>P251/O251</f>
        <v>2.75E-2</v>
      </c>
      <c r="M251" s="187">
        <f>Q251/O251</f>
        <v>1.4583333333333334E-2</v>
      </c>
      <c r="N251" s="187">
        <f>R251/O251</f>
        <v>8.7500000000000008E-3</v>
      </c>
      <c r="O251" s="41">
        <v>2400</v>
      </c>
      <c r="P251" s="14">
        <v>66</v>
      </c>
      <c r="Q251" s="13">
        <v>35</v>
      </c>
      <c r="R251" s="13">
        <v>21</v>
      </c>
    </row>
    <row r="252" spans="1:18">
      <c r="A252" t="s">
        <v>34</v>
      </c>
      <c r="B252" s="202">
        <f t="shared" si="6"/>
        <v>0.20149253731343283</v>
      </c>
      <c r="C252" s="187">
        <f t="shared" si="7"/>
        <v>0.1691542288557214</v>
      </c>
      <c r="D252" s="187">
        <f t="shared" si="8"/>
        <v>3.2338308457711441E-2</v>
      </c>
      <c r="E252">
        <v>402</v>
      </c>
      <c r="F252" s="104">
        <v>81</v>
      </c>
      <c r="G252">
        <v>68</v>
      </c>
      <c r="H252">
        <v>13</v>
      </c>
      <c r="K252" t="s">
        <v>30</v>
      </c>
      <c r="L252" s="202">
        <f t="shared" ref="L252:L256" si="9">P252/O252</f>
        <v>2.8286637931034482E-2</v>
      </c>
      <c r="M252" s="187">
        <f t="shared" ref="M252:M256" si="10">Q252/O252</f>
        <v>2.2090517241379309E-2</v>
      </c>
      <c r="N252" s="187">
        <f t="shared" ref="N252:N256" si="11">R252/O252</f>
        <v>6.1961206896551727E-3</v>
      </c>
      <c r="O252" s="79">
        <v>3712</v>
      </c>
      <c r="P252" s="79">
        <v>105</v>
      </c>
      <c r="Q252" s="79">
        <v>82</v>
      </c>
      <c r="R252" s="79">
        <v>23</v>
      </c>
    </row>
    <row r="253" spans="1:18">
      <c r="K253" t="s">
        <v>29</v>
      </c>
      <c r="L253" s="202">
        <f t="shared" si="9"/>
        <v>1.7151379567486951E-2</v>
      </c>
      <c r="M253" s="187">
        <f t="shared" si="10"/>
        <v>1.6405667412378821E-2</v>
      </c>
      <c r="N253" s="187">
        <f t="shared" si="11"/>
        <v>1.1185682326621924E-3</v>
      </c>
      <c r="O253" s="79">
        <v>2682</v>
      </c>
      <c r="P253" s="27">
        <v>46</v>
      </c>
      <c r="Q253" s="27">
        <v>44</v>
      </c>
      <c r="R253" s="27">
        <v>3</v>
      </c>
    </row>
    <row r="254" spans="1:18">
      <c r="A254">
        <v>504</v>
      </c>
      <c r="K254" t="s">
        <v>20</v>
      </c>
      <c r="L254" s="202">
        <f t="shared" si="9"/>
        <v>3.8122132015531239E-2</v>
      </c>
      <c r="M254" s="187">
        <f t="shared" si="10"/>
        <v>3.1768443346276029E-2</v>
      </c>
      <c r="N254" s="187">
        <f t="shared" si="11"/>
        <v>6.3536886692552065E-3</v>
      </c>
      <c r="O254" s="16">
        <v>2833</v>
      </c>
      <c r="P254" s="92">
        <v>108</v>
      </c>
      <c r="Q254" s="92">
        <v>90</v>
      </c>
      <c r="R254" s="92">
        <v>18</v>
      </c>
    </row>
    <row r="255" spans="1:18">
      <c r="A255" t="s">
        <v>18</v>
      </c>
      <c r="B255" t="s">
        <v>42</v>
      </c>
      <c r="C255" t="s">
        <v>137</v>
      </c>
      <c r="D255" t="s">
        <v>56</v>
      </c>
      <c r="E255" t="s">
        <v>142</v>
      </c>
      <c r="F255" t="s">
        <v>138</v>
      </c>
      <c r="G255" t="s">
        <v>139</v>
      </c>
      <c r="H255" t="s">
        <v>140</v>
      </c>
      <c r="K255" t="s">
        <v>19</v>
      </c>
      <c r="L255" s="202">
        <f t="shared" si="9"/>
        <v>3.7332005973120953E-2</v>
      </c>
      <c r="M255" s="187">
        <f t="shared" si="10"/>
        <v>2.8372324539571926E-2</v>
      </c>
      <c r="N255" s="187">
        <f t="shared" si="11"/>
        <v>8.9596814335490289E-3</v>
      </c>
      <c r="O255" s="121">
        <v>2009</v>
      </c>
      <c r="P255" s="128">
        <v>75</v>
      </c>
      <c r="Q255" s="92">
        <v>57</v>
      </c>
      <c r="R255" s="92">
        <v>18</v>
      </c>
    </row>
    <row r="256" spans="1:18" ht="17" thickBot="1">
      <c r="B256" s="202"/>
      <c r="C256" s="187"/>
      <c r="D256" s="187"/>
      <c r="E256" s="41"/>
      <c r="F256" s="83"/>
      <c r="G256" s="65"/>
      <c r="H256" s="13"/>
      <c r="K256" t="s">
        <v>34</v>
      </c>
      <c r="L256" s="202">
        <f t="shared" si="9"/>
        <v>2.9850746268656716E-2</v>
      </c>
      <c r="M256" s="187">
        <f t="shared" si="10"/>
        <v>1.7412935323383085E-2</v>
      </c>
      <c r="N256" s="187">
        <f t="shared" si="11"/>
        <v>1.2437810945273632E-2</v>
      </c>
      <c r="O256">
        <v>402</v>
      </c>
      <c r="P256">
        <v>12</v>
      </c>
      <c r="Q256">
        <v>7</v>
      </c>
      <c r="R256">
        <v>5</v>
      </c>
    </row>
    <row r="257" spans="1:8">
      <c r="A257" t="s">
        <v>30</v>
      </c>
      <c r="B257" s="202">
        <f t="shared" ref="B257:B261" si="12">F257/E257</f>
        <v>7.2737068965517239E-3</v>
      </c>
      <c r="C257" s="187">
        <f t="shared" ref="C257:C261" si="13">G257/E257</f>
        <v>6.1961206896551727E-3</v>
      </c>
      <c r="D257" s="187">
        <f t="shared" ref="D257:D261" si="14">H257/E257</f>
        <v>1.0775862068965517E-3</v>
      </c>
      <c r="E257" s="79">
        <v>3712</v>
      </c>
      <c r="F257" s="14">
        <v>27</v>
      </c>
      <c r="G257" s="40">
        <v>23</v>
      </c>
      <c r="H257" s="40">
        <v>4</v>
      </c>
    </row>
    <row r="258" spans="1:8">
      <c r="A258" t="s">
        <v>29</v>
      </c>
      <c r="B258" s="202">
        <f t="shared" si="12"/>
        <v>1.5287099179716629E-2</v>
      </c>
      <c r="C258" s="187">
        <f t="shared" si="13"/>
        <v>8.5756897837434756E-3</v>
      </c>
      <c r="D258" s="187">
        <f t="shared" si="14"/>
        <v>6.7114093959731542E-3</v>
      </c>
      <c r="E258" s="79">
        <v>2682</v>
      </c>
      <c r="F258" s="28">
        <v>41</v>
      </c>
      <c r="G258" s="28">
        <v>23</v>
      </c>
      <c r="H258" s="28">
        <v>18</v>
      </c>
    </row>
    <row r="259" spans="1:8">
      <c r="A259" t="s">
        <v>20</v>
      </c>
      <c r="B259" s="202">
        <f t="shared" si="12"/>
        <v>3.1415460642428519E-2</v>
      </c>
      <c r="C259" s="187">
        <f t="shared" si="13"/>
        <v>1.7649135192375574E-2</v>
      </c>
      <c r="D259" s="187">
        <f t="shared" si="14"/>
        <v>1.3766325450052947E-2</v>
      </c>
      <c r="E259" s="16">
        <v>2833</v>
      </c>
      <c r="F259" s="17">
        <v>89</v>
      </c>
      <c r="G259" s="17">
        <v>50</v>
      </c>
      <c r="H259" s="17">
        <v>39</v>
      </c>
    </row>
    <row r="260" spans="1:8">
      <c r="A260" t="s">
        <v>19</v>
      </c>
      <c r="B260" s="202">
        <f t="shared" si="12"/>
        <v>2.6381284221005476E-2</v>
      </c>
      <c r="C260" s="187">
        <f t="shared" si="13"/>
        <v>2.1901443504230962E-2</v>
      </c>
      <c r="D260" s="187">
        <f t="shared" si="14"/>
        <v>4.4798407167745144E-3</v>
      </c>
      <c r="E260" s="121">
        <v>2009</v>
      </c>
      <c r="F260" s="17">
        <v>53</v>
      </c>
      <c r="G260" s="17">
        <v>44</v>
      </c>
      <c r="H260" s="17">
        <v>9</v>
      </c>
    </row>
    <row r="261" spans="1:8">
      <c r="A261" t="s">
        <v>34</v>
      </c>
      <c r="B261" s="202">
        <f t="shared" si="12"/>
        <v>1.7412935323383085E-2</v>
      </c>
      <c r="C261" s="187">
        <f t="shared" si="13"/>
        <v>1.4925373134328358E-2</v>
      </c>
      <c r="D261" s="187">
        <f t="shared" si="14"/>
        <v>2.4875621890547263E-3</v>
      </c>
      <c r="E261">
        <v>402</v>
      </c>
      <c r="F261" s="102">
        <v>7</v>
      </c>
      <c r="G261" s="54">
        <v>6</v>
      </c>
      <c r="H261" s="54">
        <v>1</v>
      </c>
    </row>
  </sheetData>
  <mergeCells count="62">
    <mergeCell ref="R2:S3"/>
    <mergeCell ref="B4:B5"/>
    <mergeCell ref="C4:C5"/>
    <mergeCell ref="D4:Q4"/>
    <mergeCell ref="R4:S5"/>
    <mergeCell ref="V4:W5"/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T4:U5"/>
    <mergeCell ref="B12:B13"/>
    <mergeCell ref="C12:C13"/>
    <mergeCell ref="D12:Q12"/>
    <mergeCell ref="R12:S13"/>
    <mergeCell ref="T12:U13"/>
    <mergeCell ref="AE50:AF50"/>
    <mergeCell ref="X12:X13"/>
    <mergeCell ref="Y12:Y13"/>
    <mergeCell ref="D13:E13"/>
    <mergeCell ref="F13:G13"/>
    <mergeCell ref="H13:I13"/>
    <mergeCell ref="J13:K13"/>
    <mergeCell ref="L13:M13"/>
    <mergeCell ref="N13:O13"/>
    <mergeCell ref="P13:Q13"/>
    <mergeCell ref="V12:W13"/>
    <mergeCell ref="W27:X27"/>
    <mergeCell ref="Y27:Z27"/>
    <mergeCell ref="W42:X42"/>
    <mergeCell ref="T48:U48"/>
    <mergeCell ref="W50:X50"/>
    <mergeCell ref="T56:U56"/>
    <mergeCell ref="AE58:AF58"/>
    <mergeCell ref="B142:C143"/>
    <mergeCell ref="D142:E143"/>
    <mergeCell ref="F142:G143"/>
    <mergeCell ref="H142:I143"/>
    <mergeCell ref="L142:M143"/>
    <mergeCell ref="N188:O189"/>
    <mergeCell ref="Q188:R189"/>
    <mergeCell ref="C177:D178"/>
    <mergeCell ref="E177:F178"/>
    <mergeCell ref="G177:H178"/>
    <mergeCell ref="J177:K178"/>
    <mergeCell ref="L177:M178"/>
    <mergeCell ref="N177:O178"/>
    <mergeCell ref="C188:D189"/>
    <mergeCell ref="E188:F189"/>
    <mergeCell ref="G188:H189"/>
    <mergeCell ref="J188:K189"/>
    <mergeCell ref="L188:M189"/>
    <mergeCell ref="S188:T189"/>
    <mergeCell ref="U188:V189"/>
    <mergeCell ref="Q177:R178"/>
    <mergeCell ref="S177:T178"/>
    <mergeCell ref="U177:V17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73F5-02DA-D542-8EFB-8B07A937390F}">
  <dimension ref="A1:AH106"/>
  <sheetViews>
    <sheetView topLeftCell="G67" workbookViewId="0">
      <selection activeCell="AD33" sqref="AD33"/>
    </sheetView>
  </sheetViews>
  <sheetFormatPr baseColWidth="10" defaultRowHeight="16"/>
  <cols>
    <col min="7" max="7" width="24.33203125" bestFit="1" customWidth="1"/>
    <col min="8" max="8" width="23.6640625" bestFit="1" customWidth="1"/>
    <col min="9" max="9" width="23.5" bestFit="1" customWidth="1"/>
    <col min="10" max="10" width="24.1640625" bestFit="1" customWidth="1"/>
    <col min="11" max="12" width="31.83203125" customWidth="1"/>
    <col min="13" max="13" width="22.6640625" customWidth="1"/>
    <col min="14" max="14" width="21" bestFit="1" customWidth="1"/>
  </cols>
  <sheetData>
    <row r="1" spans="1:34">
      <c r="F1" t="s">
        <v>18</v>
      </c>
      <c r="G1" s="228" t="s">
        <v>111</v>
      </c>
      <c r="H1" s="228" t="s">
        <v>112</v>
      </c>
      <c r="I1" s="228" t="s">
        <v>113</v>
      </c>
      <c r="J1" s="228" t="s">
        <v>114</v>
      </c>
      <c r="K1" s="228" t="s">
        <v>115</v>
      </c>
      <c r="L1" s="228" t="s">
        <v>116</v>
      </c>
      <c r="M1" s="228" t="s">
        <v>117</v>
      </c>
      <c r="N1" s="228" t="s">
        <v>118</v>
      </c>
      <c r="O1" s="228" t="s">
        <v>119</v>
      </c>
      <c r="U1" s="263" t="s">
        <v>2</v>
      </c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5"/>
    </row>
    <row r="2" spans="1:34">
      <c r="F2" t="s">
        <v>33</v>
      </c>
      <c r="G2">
        <v>52.8</v>
      </c>
      <c r="H2">
        <v>4.2</v>
      </c>
      <c r="I2">
        <v>18.8</v>
      </c>
      <c r="J2">
        <v>21.1</v>
      </c>
      <c r="K2">
        <v>0.2</v>
      </c>
      <c r="M2">
        <v>2.9</v>
      </c>
      <c r="N2">
        <v>7.6</v>
      </c>
      <c r="U2" s="256" t="s">
        <v>8</v>
      </c>
      <c r="V2" s="248"/>
      <c r="W2" s="257" t="s">
        <v>9</v>
      </c>
      <c r="X2" s="248"/>
      <c r="Y2" s="247" t="s">
        <v>10</v>
      </c>
      <c r="Z2" s="248"/>
      <c r="AA2" s="247" t="s">
        <v>11</v>
      </c>
      <c r="AB2" s="248"/>
      <c r="AC2" s="247" t="s">
        <v>12</v>
      </c>
      <c r="AD2" s="248"/>
      <c r="AE2" s="247" t="s">
        <v>13</v>
      </c>
      <c r="AF2" s="248"/>
      <c r="AG2" s="247" t="s">
        <v>14</v>
      </c>
      <c r="AH2" s="258"/>
    </row>
    <row r="3" spans="1:34" ht="17" thickBot="1">
      <c r="B3" s="256" t="s">
        <v>8</v>
      </c>
      <c r="C3" s="248"/>
      <c r="F3" t="s">
        <v>30</v>
      </c>
      <c r="G3">
        <v>51</v>
      </c>
      <c r="H3">
        <v>4.2</v>
      </c>
      <c r="I3">
        <v>18</v>
      </c>
      <c r="J3">
        <v>23.6</v>
      </c>
      <c r="K3">
        <v>0.3</v>
      </c>
      <c r="L3">
        <v>0.1</v>
      </c>
      <c r="M3">
        <v>2.8</v>
      </c>
      <c r="N3">
        <v>9.4</v>
      </c>
      <c r="U3" s="5" t="s">
        <v>15</v>
      </c>
      <c r="V3" s="6" t="s">
        <v>16</v>
      </c>
      <c r="W3" s="7" t="s">
        <v>15</v>
      </c>
      <c r="X3" s="6" t="s">
        <v>16</v>
      </c>
      <c r="Y3" s="7" t="s">
        <v>15</v>
      </c>
      <c r="Z3" s="6" t="s">
        <v>16</v>
      </c>
      <c r="AA3" s="7" t="s">
        <v>15</v>
      </c>
      <c r="AB3" s="6" t="s">
        <v>16</v>
      </c>
      <c r="AC3" s="7" t="s">
        <v>15</v>
      </c>
      <c r="AD3" s="6" t="s">
        <v>16</v>
      </c>
      <c r="AE3" s="7" t="s">
        <v>15</v>
      </c>
      <c r="AF3" s="6" t="s">
        <v>16</v>
      </c>
      <c r="AG3" s="7" t="s">
        <v>15</v>
      </c>
      <c r="AH3" s="8" t="s">
        <v>16</v>
      </c>
    </row>
    <row r="4" spans="1:34" ht="17" thickBot="1">
      <c r="A4" s="227" t="s">
        <v>18</v>
      </c>
      <c r="B4" s="5" t="s">
        <v>15</v>
      </c>
      <c r="C4" s="6" t="s">
        <v>105</v>
      </c>
      <c r="D4" s="227" t="s">
        <v>106</v>
      </c>
      <c r="F4" t="s">
        <v>29</v>
      </c>
      <c r="G4">
        <v>49.9</v>
      </c>
      <c r="H4">
        <v>4.5</v>
      </c>
      <c r="I4">
        <v>17.5</v>
      </c>
      <c r="J4">
        <v>24.6</v>
      </c>
      <c r="K4">
        <v>0.3</v>
      </c>
      <c r="L4">
        <v>0.1</v>
      </c>
      <c r="M4">
        <v>3.1</v>
      </c>
      <c r="N4">
        <v>9.5</v>
      </c>
      <c r="U4" s="14">
        <v>7</v>
      </c>
      <c r="V4" s="15">
        <v>0.3</v>
      </c>
      <c r="W4" s="13">
        <v>7</v>
      </c>
      <c r="X4" s="15">
        <v>0.3</v>
      </c>
      <c r="Y4" s="14">
        <v>566</v>
      </c>
      <c r="Z4" s="15">
        <v>23.6</v>
      </c>
      <c r="AA4" s="13">
        <v>639</v>
      </c>
      <c r="AB4" s="15">
        <v>26.6</v>
      </c>
      <c r="AC4" s="13">
        <v>1151</v>
      </c>
      <c r="AD4" s="15">
        <v>48</v>
      </c>
      <c r="AE4" t="s">
        <v>35</v>
      </c>
      <c r="AF4" s="109" t="s">
        <v>35</v>
      </c>
      <c r="AG4" s="91" t="s">
        <v>35</v>
      </c>
      <c r="AH4" s="85" t="s">
        <v>35</v>
      </c>
    </row>
    <row r="5" spans="1:34">
      <c r="A5" t="s">
        <v>33</v>
      </c>
      <c r="B5" s="14">
        <v>7</v>
      </c>
      <c r="C5" s="175">
        <v>3.0000000000000001E-3</v>
      </c>
      <c r="D5" s="175">
        <v>2E-3</v>
      </c>
      <c r="F5" t="s">
        <v>20</v>
      </c>
      <c r="G5">
        <v>48.8</v>
      </c>
      <c r="H5">
        <v>4.7</v>
      </c>
      <c r="I5">
        <v>17.3</v>
      </c>
      <c r="J5">
        <v>25.5</v>
      </c>
      <c r="K5">
        <v>0.3</v>
      </c>
      <c r="L5">
        <v>0.1</v>
      </c>
      <c r="M5">
        <v>3.2</v>
      </c>
      <c r="N5">
        <v>10.5</v>
      </c>
      <c r="U5" s="40">
        <v>17</v>
      </c>
      <c r="V5" s="48">
        <v>0.46132971506105802</v>
      </c>
      <c r="W5" s="13">
        <v>12</v>
      </c>
      <c r="X5" s="48">
        <v>0.32564450474898199</v>
      </c>
      <c r="Y5" s="13">
        <v>622</v>
      </c>
      <c r="Z5" s="48">
        <v>16.879240162822299</v>
      </c>
      <c r="AA5" s="13">
        <v>1606</v>
      </c>
      <c r="AB5" s="48">
        <v>43.582089552238799</v>
      </c>
      <c r="AC5" s="51">
        <v>1311</v>
      </c>
      <c r="AD5" s="48">
        <v>35.576662143826297</v>
      </c>
      <c r="AE5" s="13">
        <v>0</v>
      </c>
      <c r="AF5" s="48">
        <v>0</v>
      </c>
      <c r="AG5" s="51">
        <v>117</v>
      </c>
      <c r="AH5" s="39">
        <v>3.17503392130258</v>
      </c>
    </row>
    <row r="6" spans="1:34">
      <c r="A6" t="s">
        <v>30</v>
      </c>
      <c r="B6" s="40">
        <v>17</v>
      </c>
      <c r="C6" s="175">
        <v>5.0000000000000001E-3</v>
      </c>
      <c r="D6" s="175">
        <v>3.0000000000000001E-3</v>
      </c>
      <c r="F6" t="s">
        <v>19</v>
      </c>
      <c r="G6">
        <v>48</v>
      </c>
      <c r="H6">
        <v>5.0999999999999996</v>
      </c>
      <c r="I6">
        <v>16.8</v>
      </c>
      <c r="J6">
        <v>26.2</v>
      </c>
      <c r="K6">
        <v>0.3</v>
      </c>
      <c r="L6">
        <v>0.1</v>
      </c>
      <c r="M6">
        <v>3.5</v>
      </c>
      <c r="N6">
        <v>11.7</v>
      </c>
      <c r="U6" s="40">
        <v>11</v>
      </c>
      <c r="V6" s="48">
        <v>0.4</v>
      </c>
      <c r="W6" s="13">
        <v>20</v>
      </c>
      <c r="X6" s="48">
        <v>0.8</v>
      </c>
      <c r="Y6" s="13">
        <v>228</v>
      </c>
      <c r="Z6" s="48">
        <v>8.6</v>
      </c>
      <c r="AA6" s="13">
        <v>1210</v>
      </c>
      <c r="AB6" s="48">
        <v>45.8</v>
      </c>
      <c r="AC6" s="51">
        <v>1058</v>
      </c>
      <c r="AD6" s="48">
        <v>40.1</v>
      </c>
      <c r="AE6" s="13">
        <v>0</v>
      </c>
      <c r="AF6" s="48">
        <v>0</v>
      </c>
      <c r="AG6" s="51">
        <v>114</v>
      </c>
      <c r="AH6" s="39">
        <v>4.3</v>
      </c>
    </row>
    <row r="7" spans="1:34">
      <c r="A7" t="s">
        <v>29</v>
      </c>
      <c r="B7" s="40">
        <v>11</v>
      </c>
      <c r="C7" s="175">
        <v>4.0000000000000001E-3</v>
      </c>
      <c r="D7" s="175">
        <v>3.0000000000000001E-3</v>
      </c>
      <c r="F7" t="s">
        <v>34</v>
      </c>
      <c r="G7">
        <v>46.7</v>
      </c>
      <c r="H7">
        <v>5.4</v>
      </c>
      <c r="I7">
        <v>16.600000000000001</v>
      </c>
      <c r="J7">
        <v>27</v>
      </c>
      <c r="K7">
        <v>0.2</v>
      </c>
      <c r="L7">
        <v>0.1</v>
      </c>
      <c r="M7">
        <v>3.9</v>
      </c>
      <c r="N7">
        <v>12.9</v>
      </c>
      <c r="O7">
        <v>18.3</v>
      </c>
      <c r="U7" s="24">
        <v>6</v>
      </c>
      <c r="V7" s="18">
        <v>0.21870000000000001</v>
      </c>
      <c r="W7" s="19">
        <v>19</v>
      </c>
      <c r="X7" s="18">
        <v>0.69240000000000002</v>
      </c>
      <c r="Y7" s="19">
        <v>450</v>
      </c>
      <c r="Z7" s="18">
        <v>16.3994</v>
      </c>
      <c r="AA7" s="19">
        <v>1270</v>
      </c>
      <c r="AB7" s="18">
        <v>46.282800000000002</v>
      </c>
      <c r="AC7" s="20">
        <v>900</v>
      </c>
      <c r="AD7" s="18">
        <v>32.7988</v>
      </c>
      <c r="AE7" s="19">
        <v>1</v>
      </c>
      <c r="AF7" s="18">
        <v>3.6400000000000002E-2</v>
      </c>
      <c r="AG7" s="21">
        <v>98</v>
      </c>
      <c r="AH7" s="22">
        <v>3.5714299999999999</v>
      </c>
    </row>
    <row r="8" spans="1:34">
      <c r="A8" t="s">
        <v>20</v>
      </c>
      <c r="B8" s="24">
        <v>6</v>
      </c>
      <c r="C8" s="175">
        <v>2E-3</v>
      </c>
      <c r="D8" s="175">
        <v>3.0000000000000001E-3</v>
      </c>
      <c r="U8" s="121">
        <v>3</v>
      </c>
      <c r="V8" s="124">
        <v>0.15340000000000001</v>
      </c>
      <c r="W8" s="125">
        <v>15</v>
      </c>
      <c r="X8" s="124">
        <v>0.76690000000000003</v>
      </c>
      <c r="Y8" s="125">
        <v>342</v>
      </c>
      <c r="Z8" s="124">
        <v>17.4847</v>
      </c>
      <c r="AA8" s="125">
        <v>829</v>
      </c>
      <c r="AB8" s="124">
        <v>42.382399999999997</v>
      </c>
      <c r="AC8" s="126">
        <v>672</v>
      </c>
      <c r="AD8" s="124">
        <v>34.355800000000002</v>
      </c>
      <c r="AE8" s="125">
        <v>0</v>
      </c>
      <c r="AF8" s="124">
        <v>0</v>
      </c>
      <c r="AG8" s="127">
        <v>95</v>
      </c>
      <c r="AH8" s="123">
        <v>4.8569000000000004</v>
      </c>
    </row>
    <row r="9" spans="1:34">
      <c r="A9" t="s">
        <v>19</v>
      </c>
      <c r="B9" s="121">
        <v>3</v>
      </c>
      <c r="C9" s="175">
        <v>2E-3</v>
      </c>
      <c r="D9" s="175">
        <v>3.0000000000000001E-3</v>
      </c>
      <c r="U9" s="54">
        <v>0</v>
      </c>
      <c r="V9" s="55">
        <v>0</v>
      </c>
      <c r="W9" s="54">
        <v>2</v>
      </c>
      <c r="X9" s="55">
        <v>0.5</v>
      </c>
      <c r="Y9">
        <v>33</v>
      </c>
      <c r="Z9">
        <v>8.1999999999999993</v>
      </c>
      <c r="AA9">
        <v>58</v>
      </c>
      <c r="AB9">
        <v>14.4</v>
      </c>
      <c r="AC9">
        <v>274</v>
      </c>
      <c r="AD9">
        <v>68.2</v>
      </c>
      <c r="AE9">
        <v>1</v>
      </c>
      <c r="AF9">
        <v>0.2</v>
      </c>
      <c r="AG9">
        <v>27</v>
      </c>
      <c r="AH9">
        <v>6.7</v>
      </c>
    </row>
    <row r="10" spans="1:34">
      <c r="A10" t="s">
        <v>34</v>
      </c>
      <c r="B10" s="54">
        <v>0</v>
      </c>
      <c r="C10" s="175">
        <v>0</v>
      </c>
      <c r="D10" s="175">
        <v>2E-3</v>
      </c>
    </row>
    <row r="11" spans="1:34">
      <c r="F11" s="2">
        <v>2010</v>
      </c>
      <c r="G11" s="2" t="s">
        <v>40</v>
      </c>
      <c r="H11" s="2" t="s">
        <v>9</v>
      </c>
      <c r="I11" s="2" t="s">
        <v>102</v>
      </c>
      <c r="J11" s="2" t="s">
        <v>41</v>
      </c>
      <c r="K11" s="2" t="s">
        <v>108</v>
      </c>
      <c r="L11" s="2"/>
      <c r="M11" s="2" t="s">
        <v>104</v>
      </c>
    </row>
    <row r="12" spans="1:34">
      <c r="F12" s="2" t="s">
        <v>105</v>
      </c>
      <c r="G12" s="175">
        <v>3.0000000000000001E-3</v>
      </c>
      <c r="H12" s="175">
        <v>3.0000000000000001E-3</v>
      </c>
      <c r="I12" s="175">
        <v>0.23599999999999999</v>
      </c>
      <c r="J12" s="175">
        <v>0.26600000000000001</v>
      </c>
      <c r="K12" s="175">
        <v>0.48</v>
      </c>
      <c r="L12" s="2"/>
      <c r="M12" s="2"/>
    </row>
    <row r="13" spans="1:34">
      <c r="B13" s="256" t="s">
        <v>8</v>
      </c>
      <c r="C13" s="248"/>
      <c r="F13" t="s">
        <v>106</v>
      </c>
      <c r="G13" s="175">
        <v>2E-3</v>
      </c>
      <c r="H13" s="175">
        <v>4.2000000000000003E-2</v>
      </c>
      <c r="I13" s="175">
        <v>0.21099999999999999</v>
      </c>
      <c r="J13" s="175">
        <v>0.188</v>
      </c>
      <c r="K13" s="175">
        <v>0.52800000000000002</v>
      </c>
      <c r="M13" s="175">
        <v>2.9000000000000001E-2</v>
      </c>
      <c r="T13" s="238" t="s">
        <v>18</v>
      </c>
      <c r="U13" s="238" t="s">
        <v>40</v>
      </c>
      <c r="V13" s="238" t="s">
        <v>9</v>
      </c>
      <c r="W13" s="238" t="s">
        <v>102</v>
      </c>
      <c r="X13" s="238" t="s">
        <v>41</v>
      </c>
      <c r="Y13" s="238" t="s">
        <v>108</v>
      </c>
      <c r="Z13" s="238" t="s">
        <v>103</v>
      </c>
      <c r="AA13" s="238" t="s">
        <v>104</v>
      </c>
    </row>
    <row r="14" spans="1:34" ht="17" thickBot="1">
      <c r="A14" s="227" t="s">
        <v>18</v>
      </c>
      <c r="B14" s="5" t="s">
        <v>15</v>
      </c>
      <c r="C14" s="6" t="s">
        <v>16</v>
      </c>
      <c r="T14" s="234" t="s">
        <v>33</v>
      </c>
      <c r="U14" s="239">
        <v>0.3</v>
      </c>
      <c r="V14" s="239">
        <v>0.3</v>
      </c>
      <c r="W14" s="239">
        <v>23.6</v>
      </c>
      <c r="X14" s="239">
        <v>26.6</v>
      </c>
      <c r="Y14" s="239">
        <v>48</v>
      </c>
      <c r="Z14" s="234" t="s">
        <v>35</v>
      </c>
      <c r="AA14" s="234" t="s">
        <v>35</v>
      </c>
    </row>
    <row r="15" spans="1:34">
      <c r="A15" t="s">
        <v>33</v>
      </c>
      <c r="B15" s="14">
        <v>7</v>
      </c>
      <c r="C15" s="175">
        <v>3.0000000000000001E-3</v>
      </c>
      <c r="D15" s="175">
        <v>2E-3</v>
      </c>
      <c r="T15" s="234" t="s">
        <v>30</v>
      </c>
      <c r="U15" s="239">
        <v>0.46132971506105802</v>
      </c>
      <c r="V15" s="239">
        <v>0.32564450474898199</v>
      </c>
      <c r="W15" s="239">
        <v>16.879240162822299</v>
      </c>
      <c r="X15" s="239">
        <v>43.582089552238799</v>
      </c>
      <c r="Y15" s="239">
        <v>35.576662143826297</v>
      </c>
      <c r="Z15" s="239">
        <v>0</v>
      </c>
      <c r="AA15" s="239">
        <v>3.17503392130258</v>
      </c>
    </row>
    <row r="16" spans="1:34">
      <c r="A16" t="s">
        <v>30</v>
      </c>
      <c r="B16" s="40">
        <v>17</v>
      </c>
      <c r="C16" s="175">
        <v>5.0000000000000001E-3</v>
      </c>
      <c r="D16" s="175">
        <v>3.0000000000000001E-3</v>
      </c>
      <c r="T16" s="234" t="s">
        <v>29</v>
      </c>
      <c r="U16" s="239">
        <v>0.4</v>
      </c>
      <c r="V16" s="239">
        <v>0.8</v>
      </c>
      <c r="W16" s="239">
        <v>8.6</v>
      </c>
      <c r="X16" s="239">
        <v>45.8</v>
      </c>
      <c r="Y16" s="239">
        <v>40.1</v>
      </c>
      <c r="Z16" s="239">
        <v>0</v>
      </c>
      <c r="AA16" s="239">
        <v>4.3</v>
      </c>
    </row>
    <row r="17" spans="1:27">
      <c r="A17" t="s">
        <v>29</v>
      </c>
      <c r="B17" s="40">
        <v>11</v>
      </c>
      <c r="C17" s="175">
        <v>4.0000000000000001E-3</v>
      </c>
      <c r="D17" s="175">
        <v>3.0000000000000001E-3</v>
      </c>
      <c r="T17" s="234" t="s">
        <v>20</v>
      </c>
      <c r="U17" s="240">
        <v>0.21870000000000001</v>
      </c>
      <c r="V17" s="240">
        <v>0.69240000000000002</v>
      </c>
      <c r="W17" s="240">
        <v>16.3994</v>
      </c>
      <c r="X17" s="240">
        <v>46.282800000000002</v>
      </c>
      <c r="Y17" s="240">
        <v>32.7988</v>
      </c>
      <c r="Z17" s="240">
        <v>3.6400000000000002E-2</v>
      </c>
      <c r="AA17" s="240">
        <v>3.5714299999999999</v>
      </c>
    </row>
    <row r="18" spans="1:27">
      <c r="A18" t="s">
        <v>20</v>
      </c>
      <c r="B18" s="24">
        <v>6</v>
      </c>
      <c r="C18" s="175">
        <v>2E-3</v>
      </c>
      <c r="D18" s="175">
        <v>3.0000000000000001E-3</v>
      </c>
      <c r="T18" s="234" t="s">
        <v>19</v>
      </c>
      <c r="U18" s="240">
        <v>0.15340000000000001</v>
      </c>
      <c r="V18" s="240">
        <v>0.76690000000000003</v>
      </c>
      <c r="W18" s="240">
        <v>17.4847</v>
      </c>
      <c r="X18" s="240">
        <v>42.382399999999997</v>
      </c>
      <c r="Y18" s="240">
        <v>34.355800000000002</v>
      </c>
      <c r="Z18" s="240">
        <v>0</v>
      </c>
      <c r="AA18" s="240">
        <v>4.8569000000000004</v>
      </c>
    </row>
    <row r="19" spans="1:27">
      <c r="A19" t="s">
        <v>19</v>
      </c>
      <c r="B19" s="121">
        <v>3</v>
      </c>
      <c r="C19" s="175">
        <v>2E-3</v>
      </c>
      <c r="D19" s="175">
        <v>3.0000000000000001E-3</v>
      </c>
      <c r="T19" s="234" t="s">
        <v>34</v>
      </c>
      <c r="U19" s="241">
        <v>0</v>
      </c>
      <c r="V19" s="241">
        <v>0.5</v>
      </c>
      <c r="W19" s="234">
        <v>8.1999999999999993</v>
      </c>
      <c r="X19" s="234">
        <v>14.4</v>
      </c>
      <c r="Y19" s="234">
        <v>68.2</v>
      </c>
      <c r="Z19" s="234">
        <v>0.2</v>
      </c>
      <c r="AA19" s="234">
        <v>6.7</v>
      </c>
    </row>
    <row r="20" spans="1:27">
      <c r="A20" t="s">
        <v>34</v>
      </c>
      <c r="B20" s="54">
        <v>0</v>
      </c>
      <c r="C20" s="175">
        <v>0</v>
      </c>
      <c r="D20" s="175">
        <v>2E-3</v>
      </c>
    </row>
    <row r="23" spans="1:27">
      <c r="B23" s="257" t="s">
        <v>9</v>
      </c>
      <c r="C23" s="248"/>
    </row>
    <row r="24" spans="1:27" ht="17" thickBot="1">
      <c r="A24" s="227" t="s">
        <v>18</v>
      </c>
      <c r="B24" s="7" t="s">
        <v>15</v>
      </c>
      <c r="C24" s="6" t="s">
        <v>16</v>
      </c>
    </row>
    <row r="25" spans="1:27">
      <c r="A25" t="s">
        <v>33</v>
      </c>
      <c r="B25" s="13">
        <v>7</v>
      </c>
      <c r="C25" s="175">
        <v>3.0000000000000001E-3</v>
      </c>
      <c r="D25" s="175">
        <v>4.2000000000000003E-2</v>
      </c>
    </row>
    <row r="26" spans="1:27">
      <c r="A26" t="s">
        <v>30</v>
      </c>
      <c r="B26" s="13">
        <v>12</v>
      </c>
      <c r="C26" s="175">
        <v>3.0000000000000001E-3</v>
      </c>
      <c r="D26" s="175">
        <v>4.2000000000000003E-2</v>
      </c>
    </row>
    <row r="27" spans="1:27">
      <c r="A27" t="s">
        <v>29</v>
      </c>
      <c r="B27" s="13">
        <v>20</v>
      </c>
      <c r="C27" s="175">
        <v>8.0000000000000002E-3</v>
      </c>
      <c r="D27" s="175">
        <v>4.4999999999999998E-2</v>
      </c>
    </row>
    <row r="28" spans="1:27">
      <c r="A28" t="s">
        <v>20</v>
      </c>
      <c r="B28" s="19">
        <v>19</v>
      </c>
      <c r="C28" s="175">
        <v>7.0000000000000001E-3</v>
      </c>
      <c r="D28" s="175">
        <v>4.7E-2</v>
      </c>
    </row>
    <row r="29" spans="1:27">
      <c r="A29" t="s">
        <v>19</v>
      </c>
      <c r="B29" s="125">
        <v>15</v>
      </c>
      <c r="C29" s="175">
        <v>8.0000000000000002E-3</v>
      </c>
      <c r="D29" s="175">
        <v>5.0999999999999997E-2</v>
      </c>
    </row>
    <row r="30" spans="1:27">
      <c r="A30" t="s">
        <v>34</v>
      </c>
      <c r="B30" s="54">
        <v>2</v>
      </c>
      <c r="C30" s="175">
        <v>5.0000000000000001E-3</v>
      </c>
      <c r="D30" s="175">
        <v>5.3999999999999999E-2</v>
      </c>
    </row>
    <row r="33" spans="1:13">
      <c r="B33" s="247" t="s">
        <v>10</v>
      </c>
      <c r="C33" s="248"/>
    </row>
    <row r="34" spans="1:13" ht="17" thickBot="1">
      <c r="A34" s="227" t="s">
        <v>18</v>
      </c>
      <c r="B34" s="7" t="s">
        <v>15</v>
      </c>
      <c r="C34" s="6" t="s">
        <v>16</v>
      </c>
    </row>
    <row r="35" spans="1:13">
      <c r="A35" t="s">
        <v>33</v>
      </c>
      <c r="B35" s="14">
        <v>566</v>
      </c>
      <c r="C35" s="175">
        <v>0.23599999999999999</v>
      </c>
      <c r="D35" s="175">
        <v>0.21099999999999999</v>
      </c>
    </row>
    <row r="36" spans="1:13">
      <c r="A36" t="s">
        <v>30</v>
      </c>
      <c r="B36" s="13">
        <v>622</v>
      </c>
      <c r="C36" s="175">
        <v>0.16900000000000001</v>
      </c>
      <c r="D36" s="175">
        <v>0.23599999999999999</v>
      </c>
    </row>
    <row r="37" spans="1:13">
      <c r="A37" t="s">
        <v>29</v>
      </c>
      <c r="B37" s="13">
        <v>228</v>
      </c>
      <c r="C37" s="175">
        <v>8.5999999999999993E-2</v>
      </c>
      <c r="D37" s="175">
        <v>0.246</v>
      </c>
    </row>
    <row r="38" spans="1:13">
      <c r="A38" t="s">
        <v>20</v>
      </c>
      <c r="B38" s="19">
        <v>450</v>
      </c>
      <c r="C38" s="175">
        <v>0.16400000000000001</v>
      </c>
      <c r="D38" s="175">
        <v>0.255</v>
      </c>
      <c r="F38" t="s">
        <v>34</v>
      </c>
      <c r="G38" t="s">
        <v>40</v>
      </c>
      <c r="H38" t="s">
        <v>9</v>
      </c>
      <c r="I38" t="s">
        <v>102</v>
      </c>
      <c r="J38" t="s">
        <v>41</v>
      </c>
      <c r="K38" t="s">
        <v>108</v>
      </c>
      <c r="L38" t="s">
        <v>103</v>
      </c>
      <c r="M38" t="s">
        <v>104</v>
      </c>
    </row>
    <row r="39" spans="1:13">
      <c r="A39" t="s">
        <v>19</v>
      </c>
      <c r="B39" s="125">
        <v>342</v>
      </c>
      <c r="C39" s="175">
        <v>0.17499999999999999</v>
      </c>
      <c r="D39" s="175">
        <v>0.26200000000000001</v>
      </c>
      <c r="F39" t="s">
        <v>105</v>
      </c>
      <c r="G39" s="175">
        <v>0</v>
      </c>
      <c r="H39" s="175">
        <v>5.0000000000000001E-3</v>
      </c>
      <c r="I39" s="175">
        <v>8.2000000000000003E-2</v>
      </c>
      <c r="J39" s="175">
        <v>0.14399999999999999</v>
      </c>
      <c r="K39" s="175">
        <v>0.68200000000000005</v>
      </c>
      <c r="L39" s="175">
        <v>2E-3</v>
      </c>
      <c r="M39" s="175">
        <v>6.7000000000000004E-2</v>
      </c>
    </row>
    <row r="40" spans="1:13">
      <c r="A40" t="s">
        <v>34</v>
      </c>
      <c r="B40">
        <v>33</v>
      </c>
      <c r="C40" s="175">
        <v>8.2000000000000003E-2</v>
      </c>
      <c r="D40" s="175">
        <v>0.27</v>
      </c>
      <c r="F40" t="s">
        <v>106</v>
      </c>
      <c r="G40" s="175">
        <v>2E-3</v>
      </c>
      <c r="H40" s="175">
        <v>5.3999999999999999E-2</v>
      </c>
      <c r="I40" s="175">
        <v>0.27</v>
      </c>
      <c r="J40" s="175">
        <v>0.16600000000000001</v>
      </c>
      <c r="K40" s="175">
        <v>0.46700000000000003</v>
      </c>
      <c r="L40" s="175">
        <v>1E-3</v>
      </c>
      <c r="M40" s="175">
        <v>3.9E-2</v>
      </c>
    </row>
    <row r="43" spans="1:13">
      <c r="B43" s="247" t="s">
        <v>11</v>
      </c>
      <c r="C43" s="248"/>
    </row>
    <row r="44" spans="1:13" ht="17" thickBot="1">
      <c r="A44" s="227" t="s">
        <v>18</v>
      </c>
      <c r="B44" s="7" t="s">
        <v>15</v>
      </c>
      <c r="C44" s="6" t="s">
        <v>16</v>
      </c>
    </row>
    <row r="45" spans="1:13">
      <c r="A45" t="s">
        <v>33</v>
      </c>
      <c r="B45" s="13">
        <v>639</v>
      </c>
      <c r="C45" s="175">
        <v>0.26600000000000001</v>
      </c>
      <c r="D45" s="175">
        <v>0.188</v>
      </c>
    </row>
    <row r="46" spans="1:13">
      <c r="A46" t="s">
        <v>30</v>
      </c>
      <c r="B46" s="13">
        <v>1606</v>
      </c>
      <c r="C46" s="175">
        <v>0.436</v>
      </c>
      <c r="D46" s="175">
        <v>0.18</v>
      </c>
    </row>
    <row r="47" spans="1:13">
      <c r="A47" t="s">
        <v>29</v>
      </c>
      <c r="B47" s="13">
        <v>1210</v>
      </c>
      <c r="C47" s="175">
        <v>0.45800000000000002</v>
      </c>
      <c r="D47" s="175">
        <v>0.17499999999999999</v>
      </c>
    </row>
    <row r="48" spans="1:13">
      <c r="A48" t="s">
        <v>20</v>
      </c>
      <c r="B48" s="19">
        <v>1270</v>
      </c>
      <c r="C48" s="175">
        <v>0.46300000000000002</v>
      </c>
      <c r="D48" s="175">
        <v>0.17299999999999999</v>
      </c>
    </row>
    <row r="49" spans="1:4">
      <c r="A49" t="s">
        <v>19</v>
      </c>
      <c r="B49" s="125">
        <v>829</v>
      </c>
      <c r="C49" s="175">
        <v>0.42399999999999999</v>
      </c>
      <c r="D49" s="175">
        <v>0.16800000000000001</v>
      </c>
    </row>
    <row r="50" spans="1:4">
      <c r="A50" t="s">
        <v>34</v>
      </c>
      <c r="B50">
        <v>58</v>
      </c>
      <c r="C50" s="175">
        <v>0.14399999999999999</v>
      </c>
      <c r="D50" s="175">
        <v>0.16600000000000001</v>
      </c>
    </row>
    <row r="53" spans="1:4">
      <c r="B53" s="247" t="s">
        <v>12</v>
      </c>
      <c r="C53" s="248"/>
    </row>
    <row r="54" spans="1:4" ht="17" thickBot="1">
      <c r="A54" s="227" t="s">
        <v>18</v>
      </c>
      <c r="B54" s="7" t="s">
        <v>15</v>
      </c>
      <c r="C54" s="6" t="s">
        <v>16</v>
      </c>
    </row>
    <row r="55" spans="1:4">
      <c r="A55" t="s">
        <v>33</v>
      </c>
      <c r="B55" s="13">
        <v>1151</v>
      </c>
      <c r="C55" s="175">
        <v>0.48</v>
      </c>
      <c r="D55" s="175">
        <v>0.52800000000000002</v>
      </c>
    </row>
    <row r="56" spans="1:4">
      <c r="A56" t="s">
        <v>30</v>
      </c>
      <c r="B56" s="51">
        <v>1311</v>
      </c>
      <c r="C56" s="175">
        <v>0.35599999999999998</v>
      </c>
      <c r="D56" s="175">
        <v>0.51</v>
      </c>
    </row>
    <row r="57" spans="1:4">
      <c r="A57" t="s">
        <v>29</v>
      </c>
      <c r="B57" s="51">
        <v>1058</v>
      </c>
      <c r="C57" s="175">
        <v>0.40100000000000002</v>
      </c>
      <c r="D57" s="175">
        <v>0.499</v>
      </c>
    </row>
    <row r="58" spans="1:4">
      <c r="A58" t="s">
        <v>20</v>
      </c>
      <c r="B58" s="20">
        <v>900</v>
      </c>
      <c r="C58" s="175">
        <v>0.32800000000000001</v>
      </c>
      <c r="D58" s="175">
        <v>0.48799999999999999</v>
      </c>
    </row>
    <row r="59" spans="1:4">
      <c r="A59" t="s">
        <v>19</v>
      </c>
      <c r="B59" s="126">
        <v>672</v>
      </c>
      <c r="C59" s="175">
        <v>0.34399999999999997</v>
      </c>
      <c r="D59" s="175">
        <v>0.48</v>
      </c>
    </row>
    <row r="60" spans="1:4">
      <c r="A60" t="s">
        <v>34</v>
      </c>
      <c r="B60">
        <v>274</v>
      </c>
      <c r="C60" s="175">
        <v>0.68200000000000005</v>
      </c>
      <c r="D60" s="175">
        <v>0.46700000000000003</v>
      </c>
    </row>
    <row r="63" spans="1:4">
      <c r="B63" s="247" t="s">
        <v>13</v>
      </c>
      <c r="C63" s="248"/>
    </row>
    <row r="64" spans="1:4" ht="17" thickBot="1">
      <c r="A64" s="227" t="s">
        <v>18</v>
      </c>
      <c r="B64" s="7" t="s">
        <v>15</v>
      </c>
      <c r="C64" s="6" t="s">
        <v>16</v>
      </c>
    </row>
    <row r="65" spans="1:13">
      <c r="A65" t="s">
        <v>33</v>
      </c>
      <c r="C65" s="109"/>
    </row>
    <row r="66" spans="1:13">
      <c r="A66" t="s">
        <v>30</v>
      </c>
      <c r="B66" s="13">
        <v>0</v>
      </c>
      <c r="C66" s="175">
        <v>0</v>
      </c>
      <c r="D66" s="175">
        <v>1E-3</v>
      </c>
    </row>
    <row r="67" spans="1:13">
      <c r="A67" t="s">
        <v>29</v>
      </c>
      <c r="B67" s="13">
        <v>0</v>
      </c>
      <c r="C67" s="175">
        <v>0</v>
      </c>
      <c r="D67" s="175">
        <v>1E-3</v>
      </c>
    </row>
    <row r="68" spans="1:13">
      <c r="A68" t="s">
        <v>20</v>
      </c>
      <c r="B68" s="19">
        <v>1</v>
      </c>
      <c r="C68" s="175">
        <v>0</v>
      </c>
      <c r="D68" s="175">
        <v>1E-3</v>
      </c>
    </row>
    <row r="69" spans="1:13">
      <c r="A69" t="s">
        <v>19</v>
      </c>
      <c r="B69" s="125">
        <v>0</v>
      </c>
      <c r="C69" s="175">
        <v>0</v>
      </c>
      <c r="D69" s="175">
        <v>1E-3</v>
      </c>
      <c r="F69">
        <v>2012</v>
      </c>
      <c r="G69" t="s">
        <v>40</v>
      </c>
      <c r="H69" t="s">
        <v>9</v>
      </c>
      <c r="I69" t="s">
        <v>102</v>
      </c>
      <c r="J69" t="s">
        <v>41</v>
      </c>
      <c r="K69" t="s">
        <v>108</v>
      </c>
      <c r="L69" t="s">
        <v>103</v>
      </c>
      <c r="M69" t="s">
        <v>104</v>
      </c>
    </row>
    <row r="70" spans="1:13">
      <c r="A70" t="s">
        <v>34</v>
      </c>
      <c r="B70">
        <v>1</v>
      </c>
      <c r="C70" s="175">
        <v>2E-3</v>
      </c>
      <c r="D70" s="175">
        <v>1E-3</v>
      </c>
      <c r="F70" t="s">
        <v>105</v>
      </c>
      <c r="G70" s="175">
        <v>5.0000000000000001E-3</v>
      </c>
      <c r="H70" s="175">
        <v>3.0000000000000001E-3</v>
      </c>
      <c r="I70" s="175">
        <v>0.16900000000000001</v>
      </c>
      <c r="J70" s="175">
        <v>0.436</v>
      </c>
      <c r="K70" s="175">
        <v>0.35599999999999998</v>
      </c>
      <c r="L70" s="175">
        <v>0</v>
      </c>
      <c r="M70" s="175">
        <v>3.2000000000000001E-2</v>
      </c>
    </row>
    <row r="71" spans="1:13">
      <c r="F71" t="s">
        <v>106</v>
      </c>
      <c r="G71" s="175">
        <v>3.0000000000000001E-3</v>
      </c>
      <c r="H71" s="175">
        <v>4.2000000000000003E-2</v>
      </c>
      <c r="I71" s="175">
        <v>0.23599999999999999</v>
      </c>
      <c r="J71" s="175">
        <v>0.18</v>
      </c>
      <c r="K71" s="175">
        <v>0.51</v>
      </c>
      <c r="L71" s="175">
        <v>1E-3</v>
      </c>
      <c r="M71" s="175">
        <v>2.8000000000000001E-2</v>
      </c>
    </row>
    <row r="73" spans="1:13">
      <c r="B73" s="247" t="s">
        <v>14</v>
      </c>
      <c r="C73" s="258"/>
    </row>
    <row r="74" spans="1:13" ht="17" thickBot="1">
      <c r="A74" s="227" t="s">
        <v>18</v>
      </c>
      <c r="B74" s="7" t="s">
        <v>15</v>
      </c>
      <c r="C74" s="8" t="s">
        <v>16</v>
      </c>
      <c r="F74">
        <v>2014</v>
      </c>
      <c r="G74" t="s">
        <v>40</v>
      </c>
      <c r="H74" t="s">
        <v>9</v>
      </c>
      <c r="I74" t="s">
        <v>102</v>
      </c>
      <c r="J74" t="s">
        <v>41</v>
      </c>
      <c r="K74" t="s">
        <v>108</v>
      </c>
      <c r="L74" t="s">
        <v>103</v>
      </c>
      <c r="M74" t="s">
        <v>104</v>
      </c>
    </row>
    <row r="75" spans="1:13">
      <c r="A75" t="s">
        <v>33</v>
      </c>
      <c r="B75" s="91"/>
      <c r="D75" s="175">
        <v>2.9000000000000001E-2</v>
      </c>
      <c r="F75" t="s">
        <v>105</v>
      </c>
      <c r="G75" s="175">
        <v>4.0000000000000001E-3</v>
      </c>
      <c r="H75" s="175">
        <v>8.0000000000000002E-3</v>
      </c>
      <c r="I75" s="175">
        <v>8.5999999999999993E-2</v>
      </c>
      <c r="J75" s="175">
        <v>0.45800000000000002</v>
      </c>
      <c r="K75" s="175">
        <v>0.40100000000000002</v>
      </c>
      <c r="L75" s="175">
        <v>0</v>
      </c>
      <c r="M75" s="175">
        <v>4.2999999999999997E-2</v>
      </c>
    </row>
    <row r="76" spans="1:13">
      <c r="A76" t="s">
        <v>30</v>
      </c>
      <c r="B76" s="51">
        <v>117</v>
      </c>
      <c r="C76" s="175">
        <v>3.2000000000000001E-2</v>
      </c>
      <c r="D76" s="175">
        <v>2.8000000000000001E-2</v>
      </c>
      <c r="F76" t="s">
        <v>106</v>
      </c>
      <c r="G76" s="175">
        <v>3.0000000000000001E-3</v>
      </c>
      <c r="H76" s="175">
        <v>4.4999999999999998E-2</v>
      </c>
      <c r="I76" s="175">
        <v>0.246</v>
      </c>
      <c r="J76" s="175">
        <v>0.17499999999999999</v>
      </c>
      <c r="K76" s="175">
        <v>0.499</v>
      </c>
      <c r="L76" s="175">
        <v>1E-3</v>
      </c>
      <c r="M76" s="175">
        <v>3.1E-2</v>
      </c>
    </row>
    <row r="77" spans="1:13">
      <c r="A77" t="s">
        <v>29</v>
      </c>
      <c r="B77" s="51">
        <v>114</v>
      </c>
      <c r="C77" s="175">
        <v>4.2999999999999997E-2</v>
      </c>
      <c r="D77" s="175">
        <v>3.1E-2</v>
      </c>
    </row>
    <row r="78" spans="1:13">
      <c r="A78" t="s">
        <v>20</v>
      </c>
      <c r="B78" s="21">
        <v>98</v>
      </c>
      <c r="C78" s="175">
        <v>3.5999999999999997E-2</v>
      </c>
      <c r="D78" s="175">
        <v>3.2000000000000001E-2</v>
      </c>
    </row>
    <row r="79" spans="1:13">
      <c r="A79" t="s">
        <v>19</v>
      </c>
      <c r="B79" s="127">
        <v>95</v>
      </c>
      <c r="C79" s="175">
        <v>4.9000000000000002E-2</v>
      </c>
      <c r="D79" s="175">
        <v>3.5000000000000003E-2</v>
      </c>
      <c r="F79">
        <v>2016</v>
      </c>
      <c r="G79" t="s">
        <v>40</v>
      </c>
      <c r="H79" t="s">
        <v>9</v>
      </c>
      <c r="I79" t="s">
        <v>102</v>
      </c>
      <c r="J79" t="s">
        <v>41</v>
      </c>
      <c r="K79" t="s">
        <v>108</v>
      </c>
      <c r="L79" t="s">
        <v>103</v>
      </c>
      <c r="M79" t="s">
        <v>104</v>
      </c>
    </row>
    <row r="80" spans="1:13">
      <c r="A80" t="s">
        <v>34</v>
      </c>
      <c r="B80">
        <v>27</v>
      </c>
      <c r="C80" s="175">
        <v>6.7000000000000004E-2</v>
      </c>
      <c r="D80" s="175">
        <v>3.9E-2</v>
      </c>
      <c r="F80" t="s">
        <v>105</v>
      </c>
      <c r="G80" s="175">
        <v>2E-3</v>
      </c>
      <c r="H80" s="175">
        <v>7.0000000000000001E-3</v>
      </c>
      <c r="I80" s="175">
        <v>0.16400000000000001</v>
      </c>
      <c r="J80" s="175">
        <v>0.46300000000000002</v>
      </c>
      <c r="K80" s="175">
        <v>0.32800000000000001</v>
      </c>
      <c r="L80" s="175">
        <v>0</v>
      </c>
      <c r="M80" s="175">
        <v>3.5999999999999997E-2</v>
      </c>
    </row>
    <row r="81" spans="1:13">
      <c r="F81" t="s">
        <v>106</v>
      </c>
      <c r="G81" s="175">
        <v>3.0000000000000001E-3</v>
      </c>
      <c r="H81" s="175">
        <v>4.7E-2</v>
      </c>
      <c r="I81" s="175">
        <v>0.255</v>
      </c>
      <c r="J81" s="175">
        <v>0.17299999999999999</v>
      </c>
      <c r="K81" s="175">
        <v>0.48799999999999999</v>
      </c>
      <c r="L81" s="175">
        <v>1E-3</v>
      </c>
      <c r="M81" s="175">
        <v>3.2000000000000001E-2</v>
      </c>
    </row>
    <row r="82" spans="1:13" ht="17" thickBot="1"/>
    <row r="83" spans="1:13">
      <c r="B83" s="243" t="s">
        <v>5</v>
      </c>
      <c r="C83" s="244"/>
    </row>
    <row r="84" spans="1:13">
      <c r="B84" s="245"/>
      <c r="C84" s="246"/>
      <c r="F84">
        <v>2018</v>
      </c>
      <c r="G84" t="s">
        <v>40</v>
      </c>
      <c r="H84" t="s">
        <v>9</v>
      </c>
      <c r="I84" t="s">
        <v>102</v>
      </c>
      <c r="J84" t="s">
        <v>41</v>
      </c>
      <c r="K84" t="s">
        <v>108</v>
      </c>
      <c r="L84" t="s">
        <v>103</v>
      </c>
      <c r="M84" t="s">
        <v>104</v>
      </c>
    </row>
    <row r="85" spans="1:13" ht="30" thickBot="1">
      <c r="A85" s="227" t="s">
        <v>18</v>
      </c>
      <c r="B85" s="7" t="s">
        <v>15</v>
      </c>
      <c r="C85" s="9" t="s">
        <v>120</v>
      </c>
      <c r="D85" t="s">
        <v>121</v>
      </c>
      <c r="F85" t="s">
        <v>105</v>
      </c>
      <c r="G85" s="175">
        <v>2E-3</v>
      </c>
      <c r="H85" s="175">
        <v>8.0000000000000002E-3</v>
      </c>
      <c r="I85" s="175">
        <v>0.17499999999999999</v>
      </c>
      <c r="J85" s="175">
        <v>0.42399999999999999</v>
      </c>
      <c r="K85" s="175">
        <v>0.34399999999999997</v>
      </c>
      <c r="L85" s="175">
        <v>0</v>
      </c>
      <c r="M85" s="175">
        <v>4.9000000000000002E-2</v>
      </c>
    </row>
    <row r="86" spans="1:13">
      <c r="A86" t="s">
        <v>33</v>
      </c>
      <c r="B86" s="14">
        <v>66</v>
      </c>
      <c r="C86" s="175">
        <v>2.8000000000000001E-2</v>
      </c>
      <c r="D86" s="175">
        <v>7.5999999999999998E-2</v>
      </c>
      <c r="F86" t="s">
        <v>106</v>
      </c>
      <c r="G86" s="175">
        <v>3.0000000000000001E-3</v>
      </c>
      <c r="H86" s="175">
        <v>5.0999999999999997E-2</v>
      </c>
      <c r="I86" s="175">
        <v>0.26200000000000001</v>
      </c>
      <c r="J86" s="175">
        <v>0.16800000000000001</v>
      </c>
      <c r="K86" s="175">
        <v>0.48</v>
      </c>
      <c r="L86" s="175">
        <v>1E-3</v>
      </c>
      <c r="M86" s="175">
        <v>3.5000000000000003E-2</v>
      </c>
    </row>
    <row r="87" spans="1:13">
      <c r="A87" t="s">
        <v>30</v>
      </c>
      <c r="B87" s="79">
        <v>105</v>
      </c>
      <c r="C87" s="175">
        <v>2.8000000000000001E-2</v>
      </c>
      <c r="D87" s="175">
        <v>9.4E-2</v>
      </c>
    </row>
    <row r="88" spans="1:13">
      <c r="A88" t="s">
        <v>29</v>
      </c>
      <c r="B88" s="27">
        <v>46</v>
      </c>
      <c r="C88" s="175">
        <v>1.7000000000000001E-2</v>
      </c>
      <c r="D88" s="175">
        <v>9.5000000000000001E-2</v>
      </c>
    </row>
    <row r="89" spans="1:13">
      <c r="A89" t="s">
        <v>20</v>
      </c>
      <c r="B89" s="92">
        <v>108</v>
      </c>
      <c r="C89" s="175">
        <v>3.7999999999999999E-2</v>
      </c>
      <c r="D89" s="175">
        <v>0.105</v>
      </c>
    </row>
    <row r="90" spans="1:13">
      <c r="A90" t="s">
        <v>19</v>
      </c>
      <c r="B90" s="128">
        <v>75</v>
      </c>
      <c r="C90" s="175">
        <v>3.6999999999999998E-2</v>
      </c>
      <c r="D90" s="175">
        <v>0.11700000000000001</v>
      </c>
    </row>
    <row r="91" spans="1:13">
      <c r="A91" t="s">
        <v>34</v>
      </c>
      <c r="B91">
        <v>12</v>
      </c>
      <c r="C91" s="175">
        <v>0.03</v>
      </c>
      <c r="D91" s="175">
        <v>0.129</v>
      </c>
    </row>
    <row r="93" spans="1:13" ht="17" thickBot="1"/>
    <row r="94" spans="1:13">
      <c r="B94" s="261" t="s">
        <v>21</v>
      </c>
      <c r="C94" s="261" t="s">
        <v>1</v>
      </c>
    </row>
    <row r="95" spans="1:13">
      <c r="B95" s="262"/>
      <c r="C95" s="262"/>
    </row>
    <row r="96" spans="1:13" ht="17" thickBot="1">
      <c r="A96" s="227" t="s">
        <v>18</v>
      </c>
      <c r="B96" s="80"/>
      <c r="C96" s="4"/>
    </row>
    <row r="97" spans="1:5" ht="17" thickBot="1">
      <c r="A97" t="s">
        <v>33</v>
      </c>
      <c r="B97" s="101">
        <v>462</v>
      </c>
      <c r="C97" s="41">
        <v>2400</v>
      </c>
      <c r="D97" s="175">
        <v>0.1925</v>
      </c>
    </row>
    <row r="98" spans="1:5">
      <c r="A98" t="s">
        <v>30</v>
      </c>
      <c r="B98" s="13">
        <v>599</v>
      </c>
      <c r="C98" s="79">
        <v>3712</v>
      </c>
      <c r="D98" s="175">
        <v>0.16136853448275862</v>
      </c>
    </row>
    <row r="99" spans="1:5">
      <c r="A99" t="s">
        <v>29</v>
      </c>
      <c r="B99" s="31">
        <v>433</v>
      </c>
      <c r="C99" s="79">
        <v>2682</v>
      </c>
      <c r="D99" s="175">
        <v>0.16144668158090977</v>
      </c>
    </row>
    <row r="100" spans="1:5">
      <c r="A100" t="s">
        <v>20</v>
      </c>
      <c r="B100" s="16">
        <v>708</v>
      </c>
      <c r="C100" s="16">
        <v>2833</v>
      </c>
      <c r="D100" s="175">
        <v>0.24991175432403812</v>
      </c>
    </row>
    <row r="101" spans="1:5">
      <c r="A101" t="s">
        <v>19</v>
      </c>
      <c r="B101" s="88">
        <v>506</v>
      </c>
      <c r="C101" s="121">
        <v>2009</v>
      </c>
      <c r="D101" s="175">
        <v>0.25186660029865604</v>
      </c>
    </row>
    <row r="102" spans="1:5">
      <c r="A102" t="s">
        <v>34</v>
      </c>
      <c r="B102" s="102">
        <v>88</v>
      </c>
      <c r="C102">
        <v>402</v>
      </c>
      <c r="D102" s="175">
        <v>0.21890547263681592</v>
      </c>
      <c r="E102" s="175">
        <v>0.183</v>
      </c>
    </row>
    <row r="105" spans="1:5">
      <c r="A105" s="227" t="s">
        <v>18</v>
      </c>
      <c r="B105" t="s">
        <v>122</v>
      </c>
      <c r="C105" t="s">
        <v>123</v>
      </c>
    </row>
    <row r="106" spans="1:5">
      <c r="A106" t="s">
        <v>34</v>
      </c>
      <c r="B106" s="175">
        <v>0.21890547263681592</v>
      </c>
      <c r="C106" s="175">
        <v>0.183</v>
      </c>
    </row>
  </sheetData>
  <mergeCells count="19">
    <mergeCell ref="B53:C53"/>
    <mergeCell ref="B63:C63"/>
    <mergeCell ref="B73:C73"/>
    <mergeCell ref="B83:C84"/>
    <mergeCell ref="B94:B95"/>
    <mergeCell ref="C94:C95"/>
    <mergeCell ref="B3:C3"/>
    <mergeCell ref="B13:C13"/>
    <mergeCell ref="B23:C23"/>
    <mergeCell ref="B33:C33"/>
    <mergeCell ref="B43:C43"/>
    <mergeCell ref="U1:AH1"/>
    <mergeCell ref="U2:V2"/>
    <mergeCell ref="W2:X2"/>
    <mergeCell ref="Y2:Z2"/>
    <mergeCell ref="AA2:AB2"/>
    <mergeCell ref="AC2:AD2"/>
    <mergeCell ref="AE2:AF2"/>
    <mergeCell ref="AG2:A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F96B-8A77-C741-8C7D-3F97EA45B521}">
  <dimension ref="A1:Q160"/>
  <sheetViews>
    <sheetView tabSelected="1" workbookViewId="0">
      <selection activeCell="I161" sqref="I161"/>
    </sheetView>
  </sheetViews>
  <sheetFormatPr baseColWidth="10" defaultRowHeight="16"/>
  <sheetData>
    <row r="1" spans="1:17" ht="17" thickBot="1">
      <c r="A1" t="s">
        <v>129</v>
      </c>
      <c r="O1" t="s">
        <v>42</v>
      </c>
      <c r="P1" s="247" t="s">
        <v>11</v>
      </c>
      <c r="Q1" s="248"/>
    </row>
    <row r="2" spans="1:17" ht="17" thickBot="1">
      <c r="B2" s="247" t="s">
        <v>10</v>
      </c>
      <c r="C2" s="248"/>
      <c r="D2" s="247" t="s">
        <v>10</v>
      </c>
      <c r="E2" s="248"/>
      <c r="G2" t="s">
        <v>42</v>
      </c>
      <c r="H2" s="247" t="s">
        <v>10</v>
      </c>
      <c r="I2" s="248"/>
      <c r="K2" t="s">
        <v>42</v>
      </c>
      <c r="L2" s="243" t="s">
        <v>37</v>
      </c>
      <c r="M2" s="244"/>
      <c r="O2" t="s">
        <v>18</v>
      </c>
      <c r="P2" s="7" t="s">
        <v>15</v>
      </c>
      <c r="Q2" s="6" t="s">
        <v>16</v>
      </c>
    </row>
    <row r="3" spans="1:17" ht="17" thickBot="1">
      <c r="B3" s="80" t="s">
        <v>15</v>
      </c>
      <c r="C3" s="81" t="s">
        <v>16</v>
      </c>
      <c r="D3" s="7" t="s">
        <v>15</v>
      </c>
      <c r="E3" s="6" t="s">
        <v>16</v>
      </c>
      <c r="G3" t="s">
        <v>18</v>
      </c>
      <c r="H3" s="7" t="s">
        <v>15</v>
      </c>
      <c r="I3" s="6" t="s">
        <v>16</v>
      </c>
      <c r="L3" s="245"/>
      <c r="M3" s="246"/>
      <c r="O3" t="s">
        <v>33</v>
      </c>
      <c r="P3" s="13">
        <v>639</v>
      </c>
      <c r="Q3" s="15">
        <v>26.6</v>
      </c>
    </row>
    <row r="4" spans="1:17" ht="18" thickBot="1">
      <c r="B4" s="82">
        <v>51</v>
      </c>
      <c r="C4" s="107"/>
      <c r="D4">
        <v>3359</v>
      </c>
      <c r="E4" s="65">
        <v>4.8</v>
      </c>
      <c r="G4" t="s">
        <v>33</v>
      </c>
      <c r="H4" s="14">
        <v>566</v>
      </c>
      <c r="I4" s="15">
        <v>23.6</v>
      </c>
      <c r="K4" t="s">
        <v>18</v>
      </c>
      <c r="L4" s="5" t="s">
        <v>15</v>
      </c>
      <c r="M4" s="9" t="s">
        <v>17</v>
      </c>
      <c r="O4" t="s">
        <v>30</v>
      </c>
      <c r="P4" s="13">
        <v>1606</v>
      </c>
      <c r="Q4" s="48">
        <v>43.582089552238799</v>
      </c>
    </row>
    <row r="5" spans="1:17">
      <c r="B5" s="13">
        <v>65</v>
      </c>
      <c r="C5" s="15">
        <v>11.363636363636401</v>
      </c>
      <c r="D5" s="13">
        <v>4157</v>
      </c>
      <c r="E5" s="15">
        <v>19.273030738559999</v>
      </c>
      <c r="G5" t="s">
        <v>30</v>
      </c>
      <c r="H5" s="13">
        <v>622</v>
      </c>
      <c r="I5" s="48">
        <v>16.879240162822299</v>
      </c>
      <c r="K5" t="s">
        <v>33</v>
      </c>
      <c r="L5">
        <v>2400</v>
      </c>
      <c r="M5">
        <v>100</v>
      </c>
      <c r="O5" t="s">
        <v>29</v>
      </c>
      <c r="P5" s="13">
        <v>1210</v>
      </c>
      <c r="Q5" s="48">
        <v>45.8</v>
      </c>
    </row>
    <row r="6" spans="1:17">
      <c r="B6" s="31">
        <v>34</v>
      </c>
      <c r="C6" s="33">
        <v>8.6999999999999993</v>
      </c>
      <c r="D6" s="31">
        <v>3829</v>
      </c>
      <c r="E6" s="33">
        <v>15.8</v>
      </c>
      <c r="G6" t="s">
        <v>29</v>
      </c>
      <c r="H6" s="13">
        <v>228</v>
      </c>
      <c r="I6" s="48">
        <v>8.6</v>
      </c>
      <c r="K6" t="s">
        <v>30</v>
      </c>
      <c r="L6" s="13">
        <v>3685</v>
      </c>
      <c r="M6" s="15">
        <v>99.272629310344797</v>
      </c>
      <c r="O6" t="s">
        <v>20</v>
      </c>
      <c r="P6" s="19">
        <v>1270</v>
      </c>
      <c r="Q6" s="18">
        <v>46.282800000000002</v>
      </c>
    </row>
    <row r="7" spans="1:17">
      <c r="B7" s="19">
        <v>95</v>
      </c>
      <c r="C7" s="18">
        <v>15.347300000000001</v>
      </c>
      <c r="D7" s="19">
        <v>4575</v>
      </c>
      <c r="E7" s="23">
        <v>20.9392</v>
      </c>
      <c r="G7" t="s">
        <v>20</v>
      </c>
      <c r="H7" s="19">
        <v>450</v>
      </c>
      <c r="I7" s="18">
        <v>16.3994</v>
      </c>
      <c r="K7" t="s">
        <v>29</v>
      </c>
      <c r="L7" s="13">
        <v>2641</v>
      </c>
      <c r="M7" s="15">
        <v>98.5</v>
      </c>
      <c r="O7" t="s">
        <v>19</v>
      </c>
      <c r="P7" s="125">
        <v>829</v>
      </c>
      <c r="Q7" s="124">
        <v>42.382399999999997</v>
      </c>
    </row>
    <row r="8" spans="1:17">
      <c r="B8" t="s">
        <v>35</v>
      </c>
      <c r="C8" s="109" t="s">
        <v>35</v>
      </c>
      <c r="D8" t="s">
        <v>35</v>
      </c>
      <c r="E8" s="109" t="s">
        <v>35</v>
      </c>
      <c r="G8" t="s">
        <v>19</v>
      </c>
      <c r="H8" s="125">
        <v>342</v>
      </c>
      <c r="I8" s="124">
        <v>17.4847</v>
      </c>
      <c r="K8" t="s">
        <v>20</v>
      </c>
      <c r="L8" s="24">
        <v>2744</v>
      </c>
      <c r="M8" s="85">
        <v>96.9</v>
      </c>
      <c r="O8" t="s">
        <v>34</v>
      </c>
      <c r="P8">
        <v>58</v>
      </c>
      <c r="Q8">
        <v>14.4</v>
      </c>
    </row>
    <row r="9" spans="1:17">
      <c r="B9" s="110">
        <v>3</v>
      </c>
      <c r="C9" s="108">
        <v>3.7</v>
      </c>
      <c r="D9" s="54">
        <v>1104</v>
      </c>
      <c r="E9" s="134">
        <v>18.46</v>
      </c>
      <c r="G9" t="s">
        <v>34</v>
      </c>
      <c r="H9">
        <v>33</v>
      </c>
      <c r="I9">
        <v>8.1999999999999993</v>
      </c>
      <c r="K9" t="s">
        <v>19</v>
      </c>
      <c r="L9" s="121">
        <v>1956</v>
      </c>
      <c r="M9" s="106">
        <v>97.4</v>
      </c>
      <c r="P9" s="247" t="s">
        <v>11</v>
      </c>
      <c r="Q9" s="248"/>
    </row>
    <row r="10" spans="1:17" ht="17" thickBot="1">
      <c r="B10" s="247" t="s">
        <v>10</v>
      </c>
      <c r="C10" s="248"/>
      <c r="H10" s="247" t="s">
        <v>10</v>
      </c>
      <c r="I10" s="248"/>
      <c r="K10" t="s">
        <v>34</v>
      </c>
      <c r="L10">
        <v>395</v>
      </c>
      <c r="M10">
        <v>98.3</v>
      </c>
      <c r="O10" t="s">
        <v>18</v>
      </c>
      <c r="P10" s="7" t="s">
        <v>15</v>
      </c>
      <c r="Q10" s="6" t="s">
        <v>16</v>
      </c>
    </row>
    <row r="11" spans="1:17" ht="17" thickBot="1">
      <c r="B11" s="7" t="s">
        <v>15</v>
      </c>
      <c r="C11" s="6" t="s">
        <v>16</v>
      </c>
      <c r="G11" t="s">
        <v>18</v>
      </c>
      <c r="H11" s="7" t="s">
        <v>15</v>
      </c>
      <c r="I11" s="6" t="s">
        <v>16</v>
      </c>
      <c r="K11" t="s">
        <v>55</v>
      </c>
      <c r="L11" s="243" t="s">
        <v>37</v>
      </c>
      <c r="M11" s="244"/>
      <c r="O11" t="s">
        <v>33</v>
      </c>
      <c r="P11" s="54">
        <v>46944</v>
      </c>
      <c r="Q11">
        <v>37.5</v>
      </c>
    </row>
    <row r="12" spans="1:17">
      <c r="B12">
        <v>3359</v>
      </c>
      <c r="C12" s="65">
        <v>4.8</v>
      </c>
      <c r="G12" t="s">
        <v>33</v>
      </c>
      <c r="H12" s="54">
        <v>26314</v>
      </c>
      <c r="I12">
        <v>21</v>
      </c>
      <c r="L12" s="245"/>
      <c r="M12" s="246"/>
      <c r="O12" t="s">
        <v>30</v>
      </c>
      <c r="P12" s="13">
        <v>39443</v>
      </c>
      <c r="Q12" s="15">
        <v>36.002920907306802</v>
      </c>
    </row>
    <row r="13" spans="1:17" ht="18" thickBot="1">
      <c r="B13" s="13">
        <v>4157</v>
      </c>
      <c r="C13" s="15">
        <v>19.273030738559999</v>
      </c>
      <c r="G13" t="s">
        <v>30</v>
      </c>
      <c r="H13" s="13">
        <v>23696</v>
      </c>
      <c r="I13" s="15">
        <v>21.629318607092301</v>
      </c>
      <c r="K13" t="s">
        <v>18</v>
      </c>
      <c r="L13" s="5" t="s">
        <v>15</v>
      </c>
      <c r="M13" s="9" t="s">
        <v>17</v>
      </c>
      <c r="O13" t="s">
        <v>29</v>
      </c>
      <c r="P13" s="31">
        <v>33557</v>
      </c>
      <c r="Q13" s="33">
        <v>30.9</v>
      </c>
    </row>
    <row r="14" spans="1:17">
      <c r="B14" s="31">
        <v>3829</v>
      </c>
      <c r="C14" s="33">
        <v>15.8</v>
      </c>
      <c r="G14" t="s">
        <v>29</v>
      </c>
      <c r="H14" s="31">
        <v>18271</v>
      </c>
      <c r="I14" s="33">
        <v>16.8</v>
      </c>
      <c r="K14" t="s">
        <v>33</v>
      </c>
      <c r="O14" t="s">
        <v>20</v>
      </c>
      <c r="P14" s="20">
        <v>34110</v>
      </c>
      <c r="Q14" s="18">
        <v>34.766399999999997</v>
      </c>
    </row>
    <row r="15" spans="1:17">
      <c r="B15" s="19">
        <v>4575</v>
      </c>
      <c r="C15" s="23">
        <v>20.9392</v>
      </c>
      <c r="G15" t="s">
        <v>20</v>
      </c>
      <c r="H15" s="19">
        <v>20887</v>
      </c>
      <c r="I15" s="18">
        <v>21.288900000000002</v>
      </c>
      <c r="K15" t="s">
        <v>30</v>
      </c>
      <c r="L15" s="13">
        <v>2639</v>
      </c>
      <c r="M15" s="15">
        <v>99.1</v>
      </c>
      <c r="O15" t="s">
        <v>19</v>
      </c>
      <c r="P15" s="20">
        <v>36934</v>
      </c>
      <c r="Q15" s="18">
        <v>37.642800000000001</v>
      </c>
    </row>
    <row r="16" spans="1:17">
      <c r="B16" t="s">
        <v>35</v>
      </c>
      <c r="C16" s="109" t="s">
        <v>35</v>
      </c>
      <c r="G16" t="s">
        <v>19</v>
      </c>
      <c r="H16" s="19">
        <v>20990</v>
      </c>
      <c r="I16" s="18">
        <v>21.392800000000001</v>
      </c>
      <c r="K16" t="s">
        <v>29</v>
      </c>
      <c r="L16" s="31">
        <v>1875</v>
      </c>
      <c r="M16" s="33">
        <v>98.8</v>
      </c>
      <c r="O16" t="s">
        <v>34</v>
      </c>
      <c r="P16">
        <v>7492</v>
      </c>
      <c r="Q16" s="109">
        <v>25.3</v>
      </c>
    </row>
    <row r="17" spans="1:17">
      <c r="B17" s="54">
        <v>1104</v>
      </c>
      <c r="C17" s="134">
        <v>18.46</v>
      </c>
      <c r="G17" t="s">
        <v>34</v>
      </c>
      <c r="H17">
        <v>5677</v>
      </c>
      <c r="I17" s="109">
        <v>19.100000000000001</v>
      </c>
      <c r="K17" t="s">
        <v>20</v>
      </c>
      <c r="L17" s="24">
        <v>1967</v>
      </c>
      <c r="M17" s="22">
        <v>97.5</v>
      </c>
    </row>
    <row r="18" spans="1:17">
      <c r="K18" t="s">
        <v>19</v>
      </c>
      <c r="L18" s="24">
        <v>1366</v>
      </c>
      <c r="M18" s="22">
        <v>96.9</v>
      </c>
    </row>
    <row r="19" spans="1:17" ht="17" thickBot="1">
      <c r="A19" t="s">
        <v>128</v>
      </c>
      <c r="K19" t="s">
        <v>34</v>
      </c>
      <c r="L19">
        <v>272</v>
      </c>
      <c r="M19">
        <v>97.8</v>
      </c>
      <c r="O19" t="s">
        <v>55</v>
      </c>
      <c r="P19" s="247" t="s">
        <v>11</v>
      </c>
      <c r="Q19" s="248"/>
    </row>
    <row r="20" spans="1:17" ht="17" thickBot="1">
      <c r="B20" s="247" t="s">
        <v>10</v>
      </c>
      <c r="C20" s="248"/>
      <c r="G20" t="s">
        <v>55</v>
      </c>
      <c r="H20" s="247" t="s">
        <v>10</v>
      </c>
      <c r="I20" s="248"/>
      <c r="K20" t="s">
        <v>56</v>
      </c>
      <c r="L20" s="243" t="s">
        <v>37</v>
      </c>
      <c r="M20" s="244"/>
      <c r="O20" t="s">
        <v>18</v>
      </c>
      <c r="P20" s="7" t="s">
        <v>15</v>
      </c>
      <c r="Q20" s="6" t="s">
        <v>16</v>
      </c>
    </row>
    <row r="21" spans="1:17" ht="17" thickBot="1">
      <c r="B21" s="7" t="s">
        <v>15</v>
      </c>
      <c r="C21" s="6" t="s">
        <v>16</v>
      </c>
      <c r="G21" t="s">
        <v>18</v>
      </c>
      <c r="H21" s="7" t="s">
        <v>15</v>
      </c>
      <c r="I21" s="6" t="s">
        <v>16</v>
      </c>
      <c r="L21" s="245"/>
      <c r="M21" s="246"/>
      <c r="O21" t="s">
        <v>33</v>
      </c>
      <c r="P21" s="15" t="s">
        <v>35</v>
      </c>
      <c r="Q21" s="15"/>
    </row>
    <row r="22" spans="1:17" ht="18" thickBot="1">
      <c r="B22" s="13">
        <v>41</v>
      </c>
      <c r="C22" s="13">
        <v>11</v>
      </c>
      <c r="G22" t="s">
        <v>33</v>
      </c>
      <c r="H22" s="14">
        <v>510</v>
      </c>
      <c r="I22" s="15">
        <v>27.7</v>
      </c>
      <c r="K22" t="s">
        <v>18</v>
      </c>
      <c r="L22" s="5" t="s">
        <v>15</v>
      </c>
      <c r="M22" s="9" t="s">
        <v>17</v>
      </c>
      <c r="O22" t="s">
        <v>30</v>
      </c>
      <c r="P22" s="13">
        <v>1097</v>
      </c>
      <c r="Q22" s="48">
        <v>29.769335142469501</v>
      </c>
    </row>
    <row r="23" spans="1:17">
      <c r="B23" s="13">
        <v>61</v>
      </c>
      <c r="C23" s="15">
        <v>10.664335664335701</v>
      </c>
      <c r="G23" t="s">
        <v>30</v>
      </c>
      <c r="H23" s="13">
        <v>509</v>
      </c>
      <c r="I23" s="48">
        <v>13.812754409769299</v>
      </c>
      <c r="K23" t="s">
        <v>33</v>
      </c>
      <c r="L23" s="170" t="s">
        <v>35</v>
      </c>
      <c r="M23" s="171" t="s">
        <v>35</v>
      </c>
      <c r="O23" t="s">
        <v>29</v>
      </c>
      <c r="P23" s="31">
        <v>805</v>
      </c>
      <c r="Q23" s="30">
        <v>42.9</v>
      </c>
    </row>
    <row r="24" spans="1:17">
      <c r="B24" s="31">
        <v>32</v>
      </c>
      <c r="C24" s="30">
        <v>10.6</v>
      </c>
      <c r="G24" t="s">
        <v>29</v>
      </c>
      <c r="H24" s="31">
        <v>200</v>
      </c>
      <c r="I24" s="30">
        <v>10.7</v>
      </c>
      <c r="K24" t="s">
        <v>30</v>
      </c>
      <c r="L24" s="13">
        <v>1046</v>
      </c>
      <c r="M24" s="15">
        <v>99.6</v>
      </c>
      <c r="O24" t="s">
        <v>20</v>
      </c>
      <c r="P24" s="19">
        <v>826</v>
      </c>
      <c r="Q24" s="18">
        <v>41.992899999999999</v>
      </c>
    </row>
    <row r="25" spans="1:17">
      <c r="B25" s="19">
        <v>80</v>
      </c>
      <c r="C25" s="18">
        <v>15.8416</v>
      </c>
      <c r="G25" t="s">
        <v>20</v>
      </c>
      <c r="H25" s="19">
        <v>347</v>
      </c>
      <c r="I25" s="18">
        <v>17.641100000000002</v>
      </c>
      <c r="K25" t="s">
        <v>29</v>
      </c>
      <c r="L25" s="31">
        <v>766</v>
      </c>
      <c r="M25" s="33">
        <v>97.7</v>
      </c>
      <c r="O25" t="s">
        <v>19</v>
      </c>
      <c r="P25" s="19">
        <v>524</v>
      </c>
      <c r="Q25" s="18">
        <v>38.360199999999999</v>
      </c>
    </row>
    <row r="26" spans="1:17">
      <c r="B26" t="s">
        <v>35</v>
      </c>
      <c r="C26" s="109" t="s">
        <v>35</v>
      </c>
      <c r="G26" t="s">
        <v>19</v>
      </c>
      <c r="H26" s="19">
        <v>257</v>
      </c>
      <c r="I26" s="18">
        <v>18.8141</v>
      </c>
      <c r="K26" t="s">
        <v>20</v>
      </c>
      <c r="L26" s="24">
        <v>777</v>
      </c>
      <c r="M26" s="22">
        <v>95.2</v>
      </c>
      <c r="O26" t="s">
        <v>34</v>
      </c>
      <c r="P26">
        <v>37</v>
      </c>
      <c r="Q26">
        <v>13.3</v>
      </c>
    </row>
    <row r="27" spans="1:17">
      <c r="B27" s="54">
        <v>3</v>
      </c>
      <c r="C27" s="55">
        <v>4.41</v>
      </c>
      <c r="G27" t="s">
        <v>34</v>
      </c>
      <c r="H27">
        <v>26</v>
      </c>
      <c r="I27">
        <v>9.4</v>
      </c>
      <c r="K27" t="s">
        <v>19</v>
      </c>
      <c r="L27" s="24">
        <v>590</v>
      </c>
      <c r="M27" s="22">
        <v>98.5</v>
      </c>
      <c r="P27" s="247" t="s">
        <v>11</v>
      </c>
      <c r="Q27" s="248"/>
    </row>
    <row r="28" spans="1:17" ht="17" thickBot="1">
      <c r="B28" s="247" t="s">
        <v>10</v>
      </c>
      <c r="C28" s="248"/>
      <c r="H28" s="247" t="s">
        <v>10</v>
      </c>
      <c r="I28" s="248"/>
      <c r="K28" t="s">
        <v>34</v>
      </c>
      <c r="L28">
        <v>123</v>
      </c>
      <c r="M28">
        <v>99.2</v>
      </c>
      <c r="O28" t="s">
        <v>18</v>
      </c>
      <c r="P28" s="7" t="s">
        <v>15</v>
      </c>
      <c r="Q28" s="6" t="s">
        <v>16</v>
      </c>
    </row>
    <row r="29" spans="1:17" ht="17" thickBot="1">
      <c r="B29" s="7" t="s">
        <v>15</v>
      </c>
      <c r="C29" s="6" t="s">
        <v>16</v>
      </c>
      <c r="G29" t="s">
        <v>18</v>
      </c>
      <c r="H29" s="7" t="s">
        <v>15</v>
      </c>
      <c r="I29" s="6" t="s">
        <v>16</v>
      </c>
      <c r="O29" t="s">
        <v>33</v>
      </c>
      <c r="P29" s="54">
        <v>35021</v>
      </c>
      <c r="Q29">
        <v>37.5</v>
      </c>
    </row>
    <row r="30" spans="1:17">
      <c r="B30">
        <v>2943</v>
      </c>
      <c r="C30">
        <v>16.600000000000001</v>
      </c>
      <c r="G30" t="s">
        <v>33</v>
      </c>
      <c r="H30" s="54">
        <v>20599</v>
      </c>
      <c r="I30">
        <v>22.1</v>
      </c>
      <c r="O30" t="s">
        <v>30</v>
      </c>
      <c r="P30" s="69">
        <v>27985</v>
      </c>
      <c r="Q30" s="164">
        <v>25.5</v>
      </c>
    </row>
    <row r="31" spans="1:17" ht="17" thickBot="1">
      <c r="B31" s="13">
        <v>3540</v>
      </c>
      <c r="C31" s="15">
        <v>16.4124437850619</v>
      </c>
      <c r="G31" t="s">
        <v>30</v>
      </c>
      <c r="H31" s="69">
        <v>18508</v>
      </c>
      <c r="I31" s="164">
        <v>16.899999999999999</v>
      </c>
      <c r="O31" t="s">
        <v>29</v>
      </c>
      <c r="P31" s="31">
        <v>23724</v>
      </c>
      <c r="Q31" s="33">
        <v>29.4</v>
      </c>
    </row>
    <row r="32" spans="1:17">
      <c r="B32" s="31">
        <v>3210</v>
      </c>
      <c r="C32" s="33">
        <v>16.2</v>
      </c>
      <c r="G32" t="s">
        <v>29</v>
      </c>
      <c r="H32" s="31">
        <v>14168</v>
      </c>
      <c r="I32" s="33">
        <v>17.600000000000001</v>
      </c>
      <c r="L32" s="243" t="s">
        <v>4</v>
      </c>
      <c r="M32" s="244"/>
      <c r="O32" t="s">
        <v>20</v>
      </c>
      <c r="P32" s="20">
        <v>23816</v>
      </c>
      <c r="Q32" s="18">
        <v>33.230499999999999</v>
      </c>
    </row>
    <row r="33" spans="1:17">
      <c r="B33" s="19">
        <v>3750</v>
      </c>
      <c r="C33" s="23">
        <v>21.2621</v>
      </c>
      <c r="G33" t="s">
        <v>20</v>
      </c>
      <c r="H33" s="19">
        <v>15629</v>
      </c>
      <c r="I33" s="18">
        <v>21.807200000000002</v>
      </c>
      <c r="K33" t="s">
        <v>42</v>
      </c>
      <c r="L33" s="245"/>
      <c r="M33" s="246"/>
      <c r="O33" t="s">
        <v>19</v>
      </c>
      <c r="P33" s="20">
        <v>25364</v>
      </c>
      <c r="Q33" s="18">
        <v>35.643599999999999</v>
      </c>
    </row>
    <row r="34" spans="1:17" ht="18" thickBot="1">
      <c r="B34" t="s">
        <v>35</v>
      </c>
      <c r="C34" s="109" t="s">
        <v>35</v>
      </c>
      <c r="G34" t="s">
        <v>19</v>
      </c>
      <c r="H34" s="19">
        <v>15473</v>
      </c>
      <c r="I34" s="18">
        <v>21.744</v>
      </c>
      <c r="K34" t="s">
        <v>18</v>
      </c>
      <c r="L34" s="5" t="s">
        <v>15</v>
      </c>
      <c r="M34" s="9" t="s">
        <v>17</v>
      </c>
      <c r="O34" t="s">
        <v>34</v>
      </c>
      <c r="P34">
        <v>5203</v>
      </c>
      <c r="Q34" s="109">
        <v>24.8</v>
      </c>
    </row>
    <row r="35" spans="1:17">
      <c r="B35" s="54">
        <v>846</v>
      </c>
      <c r="C35" s="134">
        <v>17.77</v>
      </c>
      <c r="G35" t="s">
        <v>34</v>
      </c>
      <c r="H35">
        <v>3956</v>
      </c>
      <c r="I35" s="109">
        <v>18.8</v>
      </c>
      <c r="K35" t="s">
        <v>33</v>
      </c>
      <c r="L35" t="s">
        <v>35</v>
      </c>
    </row>
    <row r="36" spans="1:17">
      <c r="K36" t="s">
        <v>30</v>
      </c>
      <c r="L36" s="40">
        <v>27</v>
      </c>
      <c r="M36" s="39">
        <v>0.72737068965517204</v>
      </c>
    </row>
    <row r="37" spans="1:17">
      <c r="A37" t="s">
        <v>127</v>
      </c>
      <c r="K37" t="s">
        <v>29</v>
      </c>
      <c r="L37" s="40">
        <v>41</v>
      </c>
      <c r="M37" s="39">
        <v>1.5</v>
      </c>
      <c r="O37" t="s">
        <v>56</v>
      </c>
      <c r="P37" s="247" t="s">
        <v>11</v>
      </c>
      <c r="Q37" s="248"/>
    </row>
    <row r="38" spans="1:17" ht="17" thickBot="1">
      <c r="B38" s="247" t="s">
        <v>10</v>
      </c>
      <c r="C38" s="248"/>
      <c r="G38" t="s">
        <v>56</v>
      </c>
      <c r="H38" s="247" t="s">
        <v>10</v>
      </c>
      <c r="I38" s="248"/>
      <c r="K38" t="s">
        <v>20</v>
      </c>
      <c r="L38" s="17">
        <v>89</v>
      </c>
      <c r="M38" s="22">
        <v>3.1415500000000001</v>
      </c>
      <c r="O38" t="s">
        <v>18</v>
      </c>
      <c r="P38" s="7" t="s">
        <v>15</v>
      </c>
      <c r="Q38" s="6" t="s">
        <v>16</v>
      </c>
    </row>
    <row r="39" spans="1:17" ht="17" thickBot="1">
      <c r="B39" s="7" t="s">
        <v>15</v>
      </c>
      <c r="C39" s="6" t="s">
        <v>16</v>
      </c>
      <c r="G39" t="s">
        <v>18</v>
      </c>
      <c r="H39" s="7" t="s">
        <v>15</v>
      </c>
      <c r="I39" s="6" t="s">
        <v>16</v>
      </c>
      <c r="K39" t="s">
        <v>19</v>
      </c>
      <c r="L39" s="122">
        <v>53</v>
      </c>
      <c r="M39" s="123">
        <v>2.6381000000000001</v>
      </c>
      <c r="O39" t="s">
        <v>33</v>
      </c>
      <c r="P39" s="13" t="s">
        <v>43</v>
      </c>
      <c r="Q39" s="15"/>
    </row>
    <row r="40" spans="1:17">
      <c r="B40" s="14" t="s">
        <v>35</v>
      </c>
      <c r="C40" s="15"/>
      <c r="G40" t="s">
        <v>33</v>
      </c>
      <c r="H40" s="14" t="s">
        <v>35</v>
      </c>
      <c r="I40" s="15"/>
      <c r="K40" t="s">
        <v>34</v>
      </c>
      <c r="L40" s="54">
        <v>7</v>
      </c>
      <c r="M40">
        <v>1.7</v>
      </c>
      <c r="O40" t="s">
        <v>30</v>
      </c>
      <c r="P40" s="13">
        <v>509</v>
      </c>
      <c r="Q40" s="48">
        <v>13.812754409769299</v>
      </c>
    </row>
    <row r="41" spans="1:17" ht="17" thickBot="1">
      <c r="B41" s="13">
        <v>113</v>
      </c>
      <c r="C41" s="48">
        <v>3.0664857530529201</v>
      </c>
      <c r="G41" t="s">
        <v>30</v>
      </c>
      <c r="H41" s="13">
        <v>113</v>
      </c>
      <c r="I41" s="48">
        <v>3.0664857530529201</v>
      </c>
      <c r="O41" t="s">
        <v>29</v>
      </c>
      <c r="P41" s="31">
        <v>405</v>
      </c>
      <c r="Q41" s="30">
        <v>52.9</v>
      </c>
    </row>
    <row r="42" spans="1:17">
      <c r="B42" s="31">
        <v>28</v>
      </c>
      <c r="C42" s="30">
        <v>3.7</v>
      </c>
      <c r="G42" t="s">
        <v>29</v>
      </c>
      <c r="H42" s="31">
        <v>28</v>
      </c>
      <c r="I42" s="30">
        <v>3.7</v>
      </c>
      <c r="L42" s="243" t="s">
        <v>4</v>
      </c>
      <c r="M42" s="244"/>
      <c r="O42" t="s">
        <v>20</v>
      </c>
      <c r="P42" s="19">
        <v>444</v>
      </c>
      <c r="Q42" s="18">
        <v>57.142899999999997</v>
      </c>
    </row>
    <row r="43" spans="1:17">
      <c r="B43" s="19">
        <v>103</v>
      </c>
      <c r="C43" s="18">
        <v>13.2561</v>
      </c>
      <c r="G43" t="s">
        <v>20</v>
      </c>
      <c r="H43" s="19">
        <v>103</v>
      </c>
      <c r="I43" s="18">
        <v>13.2561</v>
      </c>
      <c r="K43" t="s">
        <v>137</v>
      </c>
      <c r="L43" s="245"/>
      <c r="M43" s="246"/>
      <c r="O43" t="s">
        <v>19</v>
      </c>
      <c r="P43" s="19">
        <v>305</v>
      </c>
      <c r="Q43" s="18">
        <v>51.694899999999997</v>
      </c>
    </row>
    <row r="44" spans="1:17" ht="18" thickBot="1">
      <c r="B44" s="19">
        <v>85</v>
      </c>
      <c r="C44" s="18">
        <v>14.4068</v>
      </c>
      <c r="G44" t="s">
        <v>19</v>
      </c>
      <c r="H44" s="19">
        <v>85</v>
      </c>
      <c r="I44" s="18">
        <v>14.4068</v>
      </c>
      <c r="K44" t="s">
        <v>18</v>
      </c>
      <c r="L44" s="5" t="s">
        <v>15</v>
      </c>
      <c r="M44" s="9" t="s">
        <v>17</v>
      </c>
      <c r="O44" t="s">
        <v>34</v>
      </c>
      <c r="P44">
        <v>21</v>
      </c>
      <c r="Q44">
        <v>16.899999999999999</v>
      </c>
    </row>
    <row r="45" spans="1:17">
      <c r="B45">
        <v>7</v>
      </c>
      <c r="C45">
        <v>5.6</v>
      </c>
      <c r="G45" t="s">
        <v>34</v>
      </c>
      <c r="H45">
        <v>7</v>
      </c>
      <c r="I45">
        <v>5.6</v>
      </c>
      <c r="K45" t="s">
        <v>33</v>
      </c>
      <c r="P45" s="247" t="s">
        <v>11</v>
      </c>
      <c r="Q45" s="248"/>
    </row>
    <row r="46" spans="1:17" ht="17" thickBot="1">
      <c r="B46" s="247" t="s">
        <v>10</v>
      </c>
      <c r="C46" s="248"/>
      <c r="H46" s="247" t="s">
        <v>10</v>
      </c>
      <c r="I46" s="248"/>
      <c r="K46" t="s">
        <v>30</v>
      </c>
      <c r="L46" s="40">
        <v>23</v>
      </c>
      <c r="M46" s="39">
        <v>0.9</v>
      </c>
      <c r="O46" t="s">
        <v>18</v>
      </c>
      <c r="P46" s="7" t="s">
        <v>15</v>
      </c>
      <c r="Q46" s="6" t="s">
        <v>16</v>
      </c>
    </row>
    <row r="47" spans="1:17" ht="17" thickBot="1">
      <c r="B47" s="7" t="s">
        <v>15</v>
      </c>
      <c r="C47" s="6" t="s">
        <v>16</v>
      </c>
      <c r="G47" t="s">
        <v>18</v>
      </c>
      <c r="H47" s="7" t="s">
        <v>15</v>
      </c>
      <c r="I47" s="6" t="s">
        <v>16</v>
      </c>
      <c r="K47" t="s">
        <v>29</v>
      </c>
      <c r="L47" s="28">
        <v>23</v>
      </c>
      <c r="M47" s="29">
        <v>1.2</v>
      </c>
      <c r="O47" t="s">
        <v>33</v>
      </c>
      <c r="P47" s="54">
        <v>11923</v>
      </c>
      <c r="Q47">
        <v>37.200000000000003</v>
      </c>
    </row>
    <row r="48" spans="1:17">
      <c r="B48" s="54">
        <v>5712</v>
      </c>
      <c r="C48">
        <v>17.8</v>
      </c>
      <c r="G48" t="s">
        <v>33</v>
      </c>
      <c r="H48" s="54">
        <v>5712</v>
      </c>
      <c r="I48">
        <v>17.8</v>
      </c>
      <c r="K48" t="s">
        <v>20</v>
      </c>
      <c r="L48" s="17">
        <v>50</v>
      </c>
      <c r="M48" s="22">
        <v>2.4788999999999999</v>
      </c>
      <c r="O48" t="s">
        <v>30</v>
      </c>
      <c r="P48" s="13">
        <v>11458</v>
      </c>
      <c r="Q48" s="15">
        <v>10.458673725525999</v>
      </c>
    </row>
    <row r="49" spans="1:17">
      <c r="B49" s="13">
        <v>5188</v>
      </c>
      <c r="C49" s="15">
        <v>4.7355209712016801</v>
      </c>
      <c r="G49" t="s">
        <v>30</v>
      </c>
      <c r="H49" s="13">
        <v>5188</v>
      </c>
      <c r="I49" s="15">
        <v>4.7355209712016801</v>
      </c>
      <c r="K49" t="s">
        <v>19</v>
      </c>
      <c r="L49" s="17">
        <v>44</v>
      </c>
      <c r="M49" s="22">
        <v>3.1206</v>
      </c>
      <c r="O49" t="s">
        <v>29</v>
      </c>
      <c r="P49" s="31">
        <v>9833</v>
      </c>
      <c r="Q49" s="33">
        <v>35.200000000000003</v>
      </c>
    </row>
    <row r="50" spans="1:17">
      <c r="B50" s="31">
        <v>4103</v>
      </c>
      <c r="C50" s="33">
        <v>14.7</v>
      </c>
      <c r="G50" t="s">
        <v>29</v>
      </c>
      <c r="H50" s="31">
        <v>4103</v>
      </c>
      <c r="I50" s="33">
        <v>14.7</v>
      </c>
      <c r="K50" t="s">
        <v>34</v>
      </c>
      <c r="L50" s="54">
        <v>6</v>
      </c>
      <c r="M50">
        <v>2.2000000000000002</v>
      </c>
      <c r="O50" t="s">
        <v>20</v>
      </c>
      <c r="P50" s="20">
        <v>10294</v>
      </c>
      <c r="Q50" s="18">
        <v>38.929000000000002</v>
      </c>
    </row>
    <row r="51" spans="1:17" ht="17" thickBot="1">
      <c r="B51" s="19">
        <v>5258</v>
      </c>
      <c r="C51" s="18">
        <v>19.8843</v>
      </c>
      <c r="G51" t="s">
        <v>20</v>
      </c>
      <c r="H51" s="19">
        <v>5258</v>
      </c>
      <c r="I51" s="18">
        <v>19.8843</v>
      </c>
      <c r="O51" t="s">
        <v>19</v>
      </c>
      <c r="P51" s="20">
        <v>11570</v>
      </c>
      <c r="Q51" s="18">
        <v>42.920200000000001</v>
      </c>
    </row>
    <row r="52" spans="1:17">
      <c r="B52" s="19">
        <v>5517</v>
      </c>
      <c r="C52" s="18">
        <v>20.465900000000001</v>
      </c>
      <c r="G52" t="s">
        <v>19</v>
      </c>
      <c r="H52" s="19">
        <v>5517</v>
      </c>
      <c r="I52" s="18">
        <v>20.465900000000001</v>
      </c>
      <c r="L52" s="243" t="s">
        <v>4</v>
      </c>
      <c r="M52" s="244"/>
      <c r="O52" t="s">
        <v>34</v>
      </c>
      <c r="P52">
        <v>2289</v>
      </c>
      <c r="Q52" s="109">
        <v>26.5</v>
      </c>
    </row>
    <row r="53" spans="1:17">
      <c r="B53">
        <v>1721</v>
      </c>
      <c r="C53" s="109">
        <v>19.899999999999999</v>
      </c>
      <c r="G53" t="s">
        <v>34</v>
      </c>
      <c r="H53">
        <v>1721</v>
      </c>
      <c r="I53" s="109">
        <v>19.899999999999999</v>
      </c>
      <c r="K53" t="s">
        <v>56</v>
      </c>
      <c r="L53" s="245"/>
      <c r="M53" s="246"/>
    </row>
    <row r="54" spans="1:17" ht="18" thickBot="1">
      <c r="K54" t="s">
        <v>18</v>
      </c>
      <c r="L54" s="5" t="s">
        <v>15</v>
      </c>
      <c r="M54" s="9" t="s">
        <v>17</v>
      </c>
    </row>
    <row r="55" spans="1:17">
      <c r="A55" t="s">
        <v>126</v>
      </c>
      <c r="K55" t="s">
        <v>33</v>
      </c>
      <c r="L55" s="170" t="s">
        <v>35</v>
      </c>
      <c r="M55" s="172" t="s">
        <v>35</v>
      </c>
      <c r="O55" t="s">
        <v>129</v>
      </c>
      <c r="P55" s="247" t="s">
        <v>11</v>
      </c>
      <c r="Q55" s="248"/>
    </row>
    <row r="56" spans="1:17">
      <c r="B56" s="247" t="s">
        <v>10</v>
      </c>
      <c r="C56" s="248"/>
      <c r="K56" t="s">
        <v>30</v>
      </c>
      <c r="L56" s="40">
        <v>4</v>
      </c>
      <c r="M56" s="39">
        <v>0.4</v>
      </c>
      <c r="O56" t="s">
        <v>18</v>
      </c>
      <c r="P56" s="80" t="s">
        <v>15</v>
      </c>
      <c r="Q56" s="81" t="s">
        <v>16</v>
      </c>
    </row>
    <row r="57" spans="1:17" ht="17" thickBot="1">
      <c r="A57" t="s">
        <v>18</v>
      </c>
      <c r="B57" s="7" t="s">
        <v>15</v>
      </c>
      <c r="C57" s="6" t="s">
        <v>16</v>
      </c>
      <c r="K57" t="s">
        <v>29</v>
      </c>
      <c r="L57" s="28">
        <v>18</v>
      </c>
      <c r="M57" s="29">
        <v>2.2999999999999998</v>
      </c>
      <c r="O57" t="s">
        <v>33</v>
      </c>
      <c r="P57" s="82">
        <v>0</v>
      </c>
      <c r="Q57" s="107"/>
    </row>
    <row r="58" spans="1:17">
      <c r="A58" t="s">
        <v>33</v>
      </c>
      <c r="B58" s="14">
        <v>566</v>
      </c>
      <c r="C58" s="15">
        <v>27.5</v>
      </c>
      <c r="K58" t="s">
        <v>20</v>
      </c>
      <c r="L58" s="17">
        <v>39</v>
      </c>
      <c r="M58" s="22">
        <v>4.7793999999999999</v>
      </c>
      <c r="O58" t="s">
        <v>30</v>
      </c>
      <c r="P58" s="13">
        <v>219</v>
      </c>
      <c r="Q58" s="15">
        <v>38.286713286713301</v>
      </c>
    </row>
    <row r="59" spans="1:17">
      <c r="A59" t="s">
        <v>30</v>
      </c>
      <c r="B59" s="13">
        <v>557</v>
      </c>
      <c r="C59" s="15">
        <v>17.8927079987151</v>
      </c>
      <c r="K59" t="s">
        <v>19</v>
      </c>
      <c r="L59" s="17">
        <v>9</v>
      </c>
      <c r="M59" s="22">
        <v>1.5024999999999999</v>
      </c>
      <c r="O59" t="s">
        <v>29</v>
      </c>
      <c r="P59" s="31">
        <v>161</v>
      </c>
      <c r="Q59" s="33">
        <v>41.1</v>
      </c>
    </row>
    <row r="60" spans="1:17">
      <c r="A60" t="s">
        <v>29</v>
      </c>
      <c r="B60" s="31">
        <v>194</v>
      </c>
      <c r="C60" s="30">
        <v>8.6</v>
      </c>
      <c r="K60" t="s">
        <v>34</v>
      </c>
      <c r="L60" s="54">
        <v>1</v>
      </c>
      <c r="M60">
        <v>0.8</v>
      </c>
      <c r="O60" t="s">
        <v>20</v>
      </c>
      <c r="P60" s="19">
        <v>284</v>
      </c>
      <c r="Q60" s="18">
        <v>45.88</v>
      </c>
    </row>
    <row r="61" spans="1:17">
      <c r="A61" t="s">
        <v>20</v>
      </c>
      <c r="B61" s="20">
        <v>355</v>
      </c>
      <c r="C61" s="18">
        <v>16.7059</v>
      </c>
      <c r="O61" t="s">
        <v>19</v>
      </c>
      <c r="P61" t="s">
        <v>35</v>
      </c>
      <c r="Q61" s="109" t="s">
        <v>35</v>
      </c>
    </row>
    <row r="62" spans="1:17">
      <c r="A62" t="s">
        <v>19</v>
      </c>
      <c r="B62" s="141" t="s">
        <v>35</v>
      </c>
      <c r="C62" s="140" t="s">
        <v>35</v>
      </c>
      <c r="O62" t="s">
        <v>34</v>
      </c>
      <c r="P62" s="110">
        <v>10</v>
      </c>
      <c r="Q62" s="108">
        <v>12.35</v>
      </c>
    </row>
    <row r="63" spans="1:17">
      <c r="A63" t="s">
        <v>34</v>
      </c>
      <c r="B63" s="54">
        <v>30</v>
      </c>
      <c r="C63" s="55">
        <v>9.5500000000000007</v>
      </c>
      <c r="P63" s="247" t="s">
        <v>11</v>
      </c>
      <c r="Q63" s="248"/>
    </row>
    <row r="64" spans="1:17" ht="17" thickBot="1">
      <c r="B64" s="247" t="s">
        <v>10</v>
      </c>
      <c r="C64" s="248"/>
      <c r="O64" t="s">
        <v>18</v>
      </c>
      <c r="P64" s="7" t="s">
        <v>15</v>
      </c>
      <c r="Q64" s="6" t="s">
        <v>16</v>
      </c>
    </row>
    <row r="65" spans="1:17" ht="17" thickBot="1">
      <c r="A65" t="s">
        <v>18</v>
      </c>
      <c r="B65" s="7" t="s">
        <v>15</v>
      </c>
      <c r="C65" s="6" t="s">
        <v>16</v>
      </c>
      <c r="K65" t="s">
        <v>42</v>
      </c>
      <c r="L65" s="243" t="s">
        <v>3</v>
      </c>
      <c r="M65" s="244"/>
      <c r="O65" t="s">
        <v>33</v>
      </c>
      <c r="P65" s="65">
        <v>7616</v>
      </c>
      <c r="Q65" s="168">
        <v>33.6</v>
      </c>
    </row>
    <row r="66" spans="1:17" ht="18" thickTop="1" thickBot="1">
      <c r="A66" t="s">
        <v>33</v>
      </c>
      <c r="B66" s="149">
        <v>22955</v>
      </c>
      <c r="C66" s="153">
        <v>22.4</v>
      </c>
      <c r="L66" s="245"/>
      <c r="M66" s="246"/>
      <c r="O66" t="s">
        <v>30</v>
      </c>
      <c r="P66" s="13">
        <v>7547</v>
      </c>
      <c r="Q66" s="15">
        <v>34.990031990356499</v>
      </c>
    </row>
    <row r="67" spans="1:17" ht="18" thickTop="1" thickBot="1">
      <c r="A67" t="s">
        <v>30</v>
      </c>
      <c r="B67" s="151">
        <v>19539</v>
      </c>
      <c r="C67" s="154">
        <v>22.206942013502101</v>
      </c>
      <c r="K67" t="s">
        <v>18</v>
      </c>
      <c r="L67" s="80" t="s">
        <v>15</v>
      </c>
      <c r="M67" s="80" t="s">
        <v>28</v>
      </c>
      <c r="O67" t="s">
        <v>29</v>
      </c>
      <c r="P67" s="31">
        <v>6873</v>
      </c>
      <c r="Q67" s="33">
        <v>28.4</v>
      </c>
    </row>
    <row r="68" spans="1:17" ht="18" thickTop="1" thickBot="1">
      <c r="A68" t="s">
        <v>29</v>
      </c>
      <c r="B68" s="31">
        <v>14403</v>
      </c>
      <c r="C68" s="33">
        <v>17.100000000000001</v>
      </c>
      <c r="K68" t="s">
        <v>33</v>
      </c>
      <c r="L68" s="83">
        <v>340</v>
      </c>
      <c r="M68" s="105"/>
      <c r="O68" t="s">
        <v>20</v>
      </c>
      <c r="P68" s="20">
        <v>7419</v>
      </c>
      <c r="Q68" s="23">
        <v>33.956000000000003</v>
      </c>
    </row>
    <row r="69" spans="1:17">
      <c r="A69" t="s">
        <v>20</v>
      </c>
      <c r="B69" s="19">
        <v>16312</v>
      </c>
      <c r="C69" s="23">
        <v>21.389099999999999</v>
      </c>
      <c r="K69" t="s">
        <v>30</v>
      </c>
      <c r="L69" s="13">
        <v>572</v>
      </c>
      <c r="M69" s="15">
        <v>95.492487479131896</v>
      </c>
      <c r="O69" t="s">
        <v>19</v>
      </c>
      <c r="P69" t="s">
        <v>35</v>
      </c>
      <c r="Q69" s="109" t="s">
        <v>35</v>
      </c>
    </row>
    <row r="70" spans="1:17">
      <c r="A70" t="s">
        <v>19</v>
      </c>
      <c r="B70" t="s">
        <v>35</v>
      </c>
      <c r="C70" s="109" t="s">
        <v>35</v>
      </c>
      <c r="K70" t="s">
        <v>29</v>
      </c>
      <c r="L70" s="28">
        <v>392</v>
      </c>
      <c r="M70" s="33">
        <v>90.5</v>
      </c>
      <c r="O70" t="s">
        <v>34</v>
      </c>
      <c r="P70" s="54">
        <v>1549</v>
      </c>
      <c r="Q70" s="134">
        <v>25.9</v>
      </c>
    </row>
    <row r="71" spans="1:17">
      <c r="A71" t="s">
        <v>34</v>
      </c>
      <c r="B71" s="54">
        <v>4573</v>
      </c>
      <c r="C71" s="134">
        <v>20.23</v>
      </c>
      <c r="K71" t="s">
        <v>20</v>
      </c>
      <c r="L71" s="24">
        <v>619</v>
      </c>
      <c r="M71" s="22">
        <v>87.429000000000002</v>
      </c>
    </row>
    <row r="72" spans="1:17">
      <c r="K72" t="s">
        <v>19</v>
      </c>
      <c r="L72" s="24">
        <v>453</v>
      </c>
      <c r="M72" s="85">
        <v>89.5</v>
      </c>
    </row>
    <row r="73" spans="1:17">
      <c r="A73" t="s">
        <v>124</v>
      </c>
      <c r="K73" t="s">
        <v>34</v>
      </c>
      <c r="L73" s="104">
        <v>81</v>
      </c>
      <c r="M73" s="106">
        <v>92</v>
      </c>
      <c r="O73" t="s">
        <v>128</v>
      </c>
      <c r="P73" s="247" t="s">
        <v>11</v>
      </c>
      <c r="Q73" s="248"/>
    </row>
    <row r="74" spans="1:17" ht="17" thickBot="1">
      <c r="B74" s="247" t="s">
        <v>10</v>
      </c>
      <c r="C74" s="248"/>
      <c r="O74" t="s">
        <v>18</v>
      </c>
      <c r="P74" s="7" t="s">
        <v>15</v>
      </c>
      <c r="Q74" s="6" t="s">
        <v>16</v>
      </c>
    </row>
    <row r="75" spans="1:17" ht="17" thickBot="1">
      <c r="A75" t="s">
        <v>18</v>
      </c>
      <c r="B75" s="7" t="s">
        <v>15</v>
      </c>
      <c r="C75" s="6" t="s">
        <v>16</v>
      </c>
      <c r="O75" t="s">
        <v>33</v>
      </c>
      <c r="P75" s="15" t="s">
        <v>35</v>
      </c>
      <c r="Q75" s="13"/>
    </row>
    <row r="76" spans="1:17">
      <c r="A76" t="s">
        <v>33</v>
      </c>
      <c r="B76" s="14">
        <v>408</v>
      </c>
      <c r="C76" s="15">
        <v>27.7</v>
      </c>
      <c r="K76" t="s">
        <v>55</v>
      </c>
      <c r="L76" s="243" t="s">
        <v>3</v>
      </c>
      <c r="M76" s="244"/>
      <c r="O76" t="s">
        <v>30</v>
      </c>
      <c r="P76" s="13">
        <v>180</v>
      </c>
      <c r="Q76" s="15">
        <v>31.468531468531499</v>
      </c>
    </row>
    <row r="77" spans="1:17">
      <c r="A77" t="s">
        <v>30</v>
      </c>
      <c r="B77" s="13">
        <v>448</v>
      </c>
      <c r="C77" s="15">
        <v>14.3912624477995</v>
      </c>
      <c r="L77" s="245"/>
      <c r="M77" s="246"/>
      <c r="O77" t="s">
        <v>29</v>
      </c>
      <c r="P77" s="31">
        <v>111</v>
      </c>
      <c r="Q77" s="30">
        <v>36.6</v>
      </c>
    </row>
    <row r="78" spans="1:17" ht="18" thickBot="1">
      <c r="A78" t="s">
        <v>29</v>
      </c>
      <c r="B78" s="31">
        <v>168</v>
      </c>
      <c r="C78" s="30">
        <v>10.7</v>
      </c>
      <c r="K78" t="s">
        <v>18</v>
      </c>
      <c r="L78" s="5" t="s">
        <v>15</v>
      </c>
      <c r="M78" s="9" t="s">
        <v>17</v>
      </c>
      <c r="O78" t="s">
        <v>20</v>
      </c>
      <c r="P78" s="19">
        <v>231</v>
      </c>
      <c r="Q78" s="18">
        <v>45.743000000000002</v>
      </c>
    </row>
    <row r="79" spans="1:17">
      <c r="A79" t="s">
        <v>20</v>
      </c>
      <c r="B79" s="20">
        <v>267</v>
      </c>
      <c r="C79" s="18">
        <v>18.262699999999999</v>
      </c>
      <c r="K79" t="s">
        <v>33</v>
      </c>
      <c r="L79" s="65" t="s">
        <v>35</v>
      </c>
      <c r="M79" s="13"/>
      <c r="O79" t="s">
        <v>19</v>
      </c>
      <c r="P79" t="s">
        <v>35</v>
      </c>
      <c r="Q79" s="109" t="s">
        <v>35</v>
      </c>
    </row>
    <row r="80" spans="1:17">
      <c r="A80" t="s">
        <v>19</v>
      </c>
      <c r="B80" t="s">
        <v>35</v>
      </c>
      <c r="C80" s="109" t="s">
        <v>35</v>
      </c>
      <c r="K80" t="s">
        <v>30</v>
      </c>
      <c r="L80" s="40">
        <v>447</v>
      </c>
      <c r="M80" s="15">
        <v>95.1</v>
      </c>
      <c r="O80" t="s">
        <v>34</v>
      </c>
      <c r="P80" s="54">
        <v>8</v>
      </c>
      <c r="Q80" s="55">
        <v>11.76</v>
      </c>
    </row>
    <row r="81" spans="1:17">
      <c r="A81" t="s">
        <v>34</v>
      </c>
      <c r="B81" s="54">
        <v>23</v>
      </c>
      <c r="C81" s="55">
        <v>11.27</v>
      </c>
      <c r="K81" t="s">
        <v>29</v>
      </c>
      <c r="L81" s="28">
        <v>303</v>
      </c>
      <c r="M81" s="29">
        <v>92.9</v>
      </c>
      <c r="P81" s="247" t="s">
        <v>11</v>
      </c>
      <c r="Q81" s="248"/>
    </row>
    <row r="82" spans="1:17" ht="17" thickBot="1">
      <c r="B82" s="247" t="s">
        <v>10</v>
      </c>
      <c r="C82" s="248"/>
      <c r="K82" t="s">
        <v>20</v>
      </c>
      <c r="L82" s="24">
        <v>505</v>
      </c>
      <c r="M82" s="22">
        <v>90.991</v>
      </c>
      <c r="O82" t="s">
        <v>18</v>
      </c>
      <c r="P82" s="7" t="s">
        <v>15</v>
      </c>
      <c r="Q82" s="6" t="s">
        <v>16</v>
      </c>
    </row>
    <row r="83" spans="1:17" ht="17" thickBot="1">
      <c r="A83" t="s">
        <v>18</v>
      </c>
      <c r="B83" s="7" t="s">
        <v>15</v>
      </c>
      <c r="C83" s="6" t="s">
        <v>16</v>
      </c>
      <c r="K83" t="s">
        <v>19</v>
      </c>
      <c r="L83" s="24">
        <v>355</v>
      </c>
      <c r="M83" s="85">
        <v>89</v>
      </c>
      <c r="O83" t="s">
        <v>33</v>
      </c>
      <c r="P83">
        <v>6332</v>
      </c>
      <c r="Q83">
        <v>35.700000000000003</v>
      </c>
    </row>
    <row r="84" spans="1:17">
      <c r="A84" t="s">
        <v>33</v>
      </c>
      <c r="B84" s="65">
        <v>17656</v>
      </c>
      <c r="C84" s="168">
        <v>23.4</v>
      </c>
      <c r="K84" t="s">
        <v>34</v>
      </c>
      <c r="L84">
        <v>68</v>
      </c>
      <c r="M84">
        <v>91.9</v>
      </c>
      <c r="O84" t="s">
        <v>30</v>
      </c>
      <c r="P84" s="13">
        <v>6041</v>
      </c>
      <c r="Q84" s="15">
        <v>28.0077889563726</v>
      </c>
    </row>
    <row r="85" spans="1:17">
      <c r="A85" t="s">
        <v>30</v>
      </c>
      <c r="B85" s="13">
        <v>14968</v>
      </c>
      <c r="C85" s="15">
        <v>17.011797331393598</v>
      </c>
      <c r="O85" t="s">
        <v>29</v>
      </c>
      <c r="P85" s="31">
        <v>5485</v>
      </c>
      <c r="Q85" s="33">
        <v>27.8</v>
      </c>
    </row>
    <row r="86" spans="1:17" ht="17" thickBot="1">
      <c r="A86" t="s">
        <v>29</v>
      </c>
      <c r="B86" s="31">
        <v>10927</v>
      </c>
      <c r="C86" s="33">
        <v>18</v>
      </c>
      <c r="O86" t="s">
        <v>20</v>
      </c>
      <c r="P86" s="20">
        <v>5900</v>
      </c>
      <c r="Q86" s="23">
        <v>33.451999999999998</v>
      </c>
    </row>
    <row r="87" spans="1:17">
      <c r="A87" t="s">
        <v>20</v>
      </c>
      <c r="B87" s="19">
        <v>11879</v>
      </c>
      <c r="C87" s="23">
        <v>21.985099999999999</v>
      </c>
      <c r="K87" t="s">
        <v>56</v>
      </c>
      <c r="L87" s="243" t="s">
        <v>3</v>
      </c>
      <c r="M87" s="244"/>
      <c r="O87" t="s">
        <v>19</v>
      </c>
      <c r="P87" t="s">
        <v>35</v>
      </c>
      <c r="Q87" s="109" t="s">
        <v>35</v>
      </c>
    </row>
    <row r="88" spans="1:17">
      <c r="A88" t="s">
        <v>19</v>
      </c>
      <c r="B88" t="s">
        <v>35</v>
      </c>
      <c r="C88" s="109" t="s">
        <v>35</v>
      </c>
      <c r="L88" s="245"/>
      <c r="M88" s="246"/>
      <c r="O88" t="s">
        <v>34</v>
      </c>
      <c r="P88" s="54">
        <v>1231</v>
      </c>
      <c r="Q88" s="134">
        <v>25.86</v>
      </c>
    </row>
    <row r="89" spans="1:17" ht="18" thickBot="1">
      <c r="A89" t="s">
        <v>34</v>
      </c>
      <c r="B89" s="54">
        <v>3110</v>
      </c>
      <c r="C89" s="134">
        <v>20.18</v>
      </c>
      <c r="K89" t="s">
        <v>18</v>
      </c>
      <c r="L89" s="5" t="s">
        <v>15</v>
      </c>
      <c r="M89" s="9" t="s">
        <v>17</v>
      </c>
    </row>
    <row r="90" spans="1:17">
      <c r="K90" t="s">
        <v>33</v>
      </c>
      <c r="L90" s="13">
        <v>85</v>
      </c>
      <c r="M90" s="15">
        <v>96.5</v>
      </c>
    </row>
    <row r="91" spans="1:17">
      <c r="A91" t="s">
        <v>125</v>
      </c>
      <c r="K91" t="s">
        <v>30</v>
      </c>
      <c r="L91" s="40">
        <v>125</v>
      </c>
      <c r="M91" s="15">
        <v>96.9</v>
      </c>
      <c r="O91" t="s">
        <v>127</v>
      </c>
      <c r="P91" s="247" t="s">
        <v>11</v>
      </c>
      <c r="Q91" s="248"/>
    </row>
    <row r="92" spans="1:17" ht="17" thickBot="1">
      <c r="B92" s="247" t="s">
        <v>10</v>
      </c>
      <c r="C92" s="248"/>
      <c r="K92" t="s">
        <v>29</v>
      </c>
      <c r="L92" s="28">
        <v>89</v>
      </c>
      <c r="M92" s="29">
        <v>83.2</v>
      </c>
      <c r="O92" t="s">
        <v>18</v>
      </c>
      <c r="P92" s="7" t="s">
        <v>15</v>
      </c>
      <c r="Q92" s="6" t="s">
        <v>16</v>
      </c>
    </row>
    <row r="93" spans="1:17" ht="17" thickBot="1">
      <c r="A93" t="s">
        <v>18</v>
      </c>
      <c r="B93" s="7" t="s">
        <v>15</v>
      </c>
      <c r="C93" s="6" t="s">
        <v>16</v>
      </c>
      <c r="K93" t="s">
        <v>20</v>
      </c>
      <c r="L93" s="24">
        <v>114</v>
      </c>
      <c r="M93" s="22">
        <v>74.510000000000005</v>
      </c>
      <c r="O93" t="s">
        <v>33</v>
      </c>
      <c r="P93" s="13" t="s">
        <v>35</v>
      </c>
      <c r="Q93" s="15"/>
    </row>
    <row r="94" spans="1:17">
      <c r="A94" t="s">
        <v>33</v>
      </c>
      <c r="B94" s="14">
        <v>158</v>
      </c>
      <c r="C94" s="15">
        <v>26.8</v>
      </c>
      <c r="K94" t="s">
        <v>19</v>
      </c>
      <c r="L94" s="24">
        <v>98</v>
      </c>
      <c r="M94" s="85">
        <v>91.6</v>
      </c>
      <c r="O94" t="s">
        <v>30</v>
      </c>
      <c r="P94" s="13">
        <v>39</v>
      </c>
      <c r="Q94" s="15">
        <v>6.8181818181818201</v>
      </c>
    </row>
    <row r="95" spans="1:17">
      <c r="A95" t="s">
        <v>30</v>
      </c>
      <c r="B95" s="14">
        <v>109</v>
      </c>
      <c r="C95" s="15">
        <v>3.5014455509155198</v>
      </c>
      <c r="K95" t="s">
        <v>34</v>
      </c>
      <c r="L95">
        <v>13</v>
      </c>
      <c r="M95" s="59">
        <v>92.86</v>
      </c>
      <c r="O95" t="s">
        <v>29</v>
      </c>
      <c r="P95" s="31">
        <v>50</v>
      </c>
      <c r="Q95" s="30">
        <v>56.2</v>
      </c>
    </row>
    <row r="96" spans="1:17">
      <c r="A96" t="s">
        <v>29</v>
      </c>
      <c r="B96" s="31">
        <v>26</v>
      </c>
      <c r="C96" s="30">
        <v>3.8</v>
      </c>
      <c r="O96" t="s">
        <v>20</v>
      </c>
      <c r="P96" s="19">
        <v>53</v>
      </c>
      <c r="Q96" s="18">
        <v>46.491</v>
      </c>
    </row>
    <row r="97" spans="1:17">
      <c r="A97" t="s">
        <v>20</v>
      </c>
      <c r="B97" s="20">
        <v>88</v>
      </c>
      <c r="C97" s="18">
        <v>13.273</v>
      </c>
      <c r="O97" t="s">
        <v>19</v>
      </c>
      <c r="P97" t="s">
        <v>35</v>
      </c>
      <c r="Q97" s="109" t="s">
        <v>35</v>
      </c>
    </row>
    <row r="98" spans="1:17">
      <c r="A98" t="s">
        <v>19</v>
      </c>
      <c r="B98" t="s">
        <v>35</v>
      </c>
      <c r="C98" s="109" t="s">
        <v>35</v>
      </c>
      <c r="O98" t="s">
        <v>34</v>
      </c>
      <c r="P98" s="54">
        <v>2</v>
      </c>
      <c r="Q98" s="55">
        <v>15.38</v>
      </c>
    </row>
    <row r="99" spans="1:17">
      <c r="A99" t="s">
        <v>34</v>
      </c>
      <c r="B99" s="54">
        <v>7</v>
      </c>
      <c r="C99" s="55">
        <v>6.36</v>
      </c>
      <c r="P99" s="247" t="s">
        <v>11</v>
      </c>
      <c r="Q99" s="248"/>
    </row>
    <row r="100" spans="1:17" ht="17" thickBot="1">
      <c r="B100" s="247" t="s">
        <v>10</v>
      </c>
      <c r="C100" s="248"/>
      <c r="O100" t="s">
        <v>18</v>
      </c>
      <c r="P100" s="7" t="s">
        <v>15</v>
      </c>
      <c r="Q100" s="6" t="s">
        <v>16</v>
      </c>
    </row>
    <row r="101" spans="1:17" ht="17" thickBot="1">
      <c r="A101" t="s">
        <v>18</v>
      </c>
      <c r="B101" s="7" t="s">
        <v>15</v>
      </c>
      <c r="C101" s="6" t="s">
        <v>16</v>
      </c>
      <c r="O101" t="s">
        <v>33</v>
      </c>
      <c r="P101">
        <v>1284</v>
      </c>
      <c r="Q101">
        <v>26.1</v>
      </c>
    </row>
    <row r="102" spans="1:17">
      <c r="A102" t="s">
        <v>33</v>
      </c>
      <c r="B102">
        <v>5299</v>
      </c>
      <c r="C102">
        <v>19.5</v>
      </c>
      <c r="O102" t="s">
        <v>30</v>
      </c>
      <c r="P102" s="13">
        <v>1506</v>
      </c>
      <c r="Q102" s="15">
        <v>6.9822430339839601</v>
      </c>
    </row>
    <row r="103" spans="1:17">
      <c r="A103" t="s">
        <v>30</v>
      </c>
      <c r="B103" s="14">
        <v>4571</v>
      </c>
      <c r="C103" s="15">
        <v>5.1951446821085199</v>
      </c>
      <c r="O103" t="s">
        <v>29</v>
      </c>
      <c r="P103" s="31">
        <v>1388</v>
      </c>
      <c r="Q103" s="33">
        <v>31.3</v>
      </c>
    </row>
    <row r="104" spans="1:17">
      <c r="A104" t="s">
        <v>29</v>
      </c>
      <c r="B104" s="31">
        <v>3476</v>
      </c>
      <c r="C104" s="33">
        <v>14.8</v>
      </c>
      <c r="O104" t="s">
        <v>20</v>
      </c>
      <c r="P104" s="20">
        <v>1519</v>
      </c>
      <c r="Q104" s="23">
        <v>36.064</v>
      </c>
    </row>
    <row r="105" spans="1:17">
      <c r="A105" t="s">
        <v>20</v>
      </c>
      <c r="B105" s="19">
        <v>4433</v>
      </c>
      <c r="C105" s="23">
        <v>19.9406</v>
      </c>
      <c r="O105" t="s">
        <v>19</v>
      </c>
      <c r="P105" t="s">
        <v>35</v>
      </c>
      <c r="Q105" s="109" t="s">
        <v>35</v>
      </c>
    </row>
    <row r="106" spans="1:17">
      <c r="A106" t="s">
        <v>19</v>
      </c>
      <c r="B106" t="s">
        <v>35</v>
      </c>
      <c r="C106" s="109" t="s">
        <v>35</v>
      </c>
      <c r="O106" t="s">
        <v>34</v>
      </c>
      <c r="P106" s="54">
        <v>318</v>
      </c>
      <c r="Q106" s="134">
        <v>5.32</v>
      </c>
    </row>
    <row r="107" spans="1:17">
      <c r="A107" t="s">
        <v>34</v>
      </c>
      <c r="B107" s="54">
        <v>1463</v>
      </c>
      <c r="C107" s="134">
        <v>6.47</v>
      </c>
    </row>
    <row r="109" spans="1:17">
      <c r="O109" t="s">
        <v>126</v>
      </c>
      <c r="P109" s="247" t="s">
        <v>11</v>
      </c>
      <c r="Q109" s="248"/>
    </row>
    <row r="110" spans="1:17" ht="17" thickBot="1">
      <c r="O110" t="s">
        <v>18</v>
      </c>
      <c r="P110" s="7" t="s">
        <v>15</v>
      </c>
      <c r="Q110" s="6" t="s">
        <v>16</v>
      </c>
    </row>
    <row r="111" spans="1:17">
      <c r="O111" t="s">
        <v>33</v>
      </c>
      <c r="P111" s="13">
        <v>639</v>
      </c>
      <c r="Q111" s="15">
        <v>31</v>
      </c>
    </row>
    <row r="112" spans="1:17">
      <c r="O112" t="s">
        <v>30</v>
      </c>
      <c r="P112" s="13">
        <v>1387</v>
      </c>
      <c r="Q112" s="15">
        <v>44.555091551558</v>
      </c>
    </row>
    <row r="113" spans="15:17">
      <c r="O113" t="s">
        <v>29</v>
      </c>
      <c r="P113" s="31">
        <v>1049</v>
      </c>
      <c r="Q113" s="30">
        <v>46.6</v>
      </c>
    </row>
    <row r="114" spans="15:17">
      <c r="O114" t="s">
        <v>20</v>
      </c>
      <c r="P114" s="19">
        <v>986</v>
      </c>
      <c r="Q114" s="18">
        <v>46.4</v>
      </c>
    </row>
    <row r="115" spans="15:17">
      <c r="O115" t="s">
        <v>19</v>
      </c>
      <c r="P115" s="141" t="s">
        <v>35</v>
      </c>
      <c r="Q115" s="140" t="s">
        <v>35</v>
      </c>
    </row>
    <row r="116" spans="15:17">
      <c r="O116" t="s">
        <v>34</v>
      </c>
      <c r="P116" s="54">
        <v>48</v>
      </c>
      <c r="Q116" s="55">
        <v>15.29</v>
      </c>
    </row>
    <row r="117" spans="15:17">
      <c r="P117" s="247" t="s">
        <v>11</v>
      </c>
      <c r="Q117" s="248"/>
    </row>
    <row r="118" spans="15:17" ht="17" thickBot="1">
      <c r="O118" t="s">
        <v>18</v>
      </c>
      <c r="P118" s="7" t="s">
        <v>15</v>
      </c>
      <c r="Q118" s="6" t="s">
        <v>16</v>
      </c>
    </row>
    <row r="119" spans="15:17" ht="18" thickTop="1" thickBot="1">
      <c r="O119" t="s">
        <v>33</v>
      </c>
      <c r="P119" s="149">
        <v>39328</v>
      </c>
      <c r="Q119" s="153">
        <v>38.299999999999997</v>
      </c>
    </row>
    <row r="120" spans="15:17" ht="18" thickTop="1" thickBot="1">
      <c r="O120" t="s">
        <v>30</v>
      </c>
      <c r="P120" s="151">
        <v>31896</v>
      </c>
      <c r="Q120" s="154">
        <v>36.251221785284002</v>
      </c>
    </row>
    <row r="121" spans="15:17" ht="17" thickTop="1">
      <c r="O121" t="s">
        <v>29</v>
      </c>
      <c r="P121" s="31">
        <v>26659</v>
      </c>
      <c r="Q121" s="33">
        <v>31.6</v>
      </c>
    </row>
    <row r="122" spans="15:17">
      <c r="O122" t="s">
        <v>20</v>
      </c>
      <c r="P122" s="19">
        <v>26691</v>
      </c>
      <c r="Q122" s="23">
        <v>34.998600000000003</v>
      </c>
    </row>
    <row r="123" spans="15:17">
      <c r="O123" t="s">
        <v>19</v>
      </c>
      <c r="P123" t="s">
        <v>35</v>
      </c>
      <c r="Q123" s="109" t="s">
        <v>35</v>
      </c>
    </row>
    <row r="124" spans="15:17">
      <c r="O124" t="s">
        <v>34</v>
      </c>
      <c r="P124" s="54">
        <v>5943</v>
      </c>
      <c r="Q124" s="134">
        <v>26.29</v>
      </c>
    </row>
    <row r="127" spans="15:17">
      <c r="O127" t="s">
        <v>124</v>
      </c>
      <c r="P127" s="247" t="s">
        <v>11</v>
      </c>
      <c r="Q127" s="248"/>
    </row>
    <row r="128" spans="15:17" ht="17" thickBot="1">
      <c r="O128" t="s">
        <v>18</v>
      </c>
      <c r="P128" s="7" t="s">
        <v>15</v>
      </c>
      <c r="Q128" s="6" t="s">
        <v>16</v>
      </c>
    </row>
    <row r="129" spans="15:17">
      <c r="O129" t="s">
        <v>33</v>
      </c>
      <c r="P129" s="14">
        <v>469</v>
      </c>
      <c r="Q129">
        <v>31.9</v>
      </c>
    </row>
    <row r="130" spans="15:17">
      <c r="O130" t="s">
        <v>30</v>
      </c>
      <c r="P130" s="13">
        <v>917</v>
      </c>
      <c r="Q130" s="15">
        <v>29.457115322839702</v>
      </c>
    </row>
    <row r="131" spans="15:17">
      <c r="O131" t="s">
        <v>29</v>
      </c>
      <c r="P131" s="31">
        <v>694</v>
      </c>
      <c r="Q131" s="30">
        <v>44.1</v>
      </c>
    </row>
    <row r="132" spans="15:17">
      <c r="O132" t="s">
        <v>20</v>
      </c>
      <c r="P132" s="19">
        <v>595</v>
      </c>
      <c r="Q132" s="18">
        <v>40.697699999999998</v>
      </c>
    </row>
    <row r="133" spans="15:17">
      <c r="O133" t="s">
        <v>19</v>
      </c>
      <c r="P133" t="s">
        <v>35</v>
      </c>
      <c r="Q133" s="109" t="s">
        <v>35</v>
      </c>
    </row>
    <row r="134" spans="15:17">
      <c r="O134" t="s">
        <v>34</v>
      </c>
      <c r="P134" s="54">
        <v>29</v>
      </c>
      <c r="Q134" s="55">
        <v>14.22</v>
      </c>
    </row>
    <row r="135" spans="15:17">
      <c r="P135" s="247" t="s">
        <v>11</v>
      </c>
      <c r="Q135" s="248"/>
    </row>
    <row r="136" spans="15:17" ht="17" thickBot="1">
      <c r="O136" t="s">
        <v>18</v>
      </c>
      <c r="P136" s="7" t="s">
        <v>15</v>
      </c>
      <c r="Q136" s="6" t="s">
        <v>16</v>
      </c>
    </row>
    <row r="137" spans="15:17">
      <c r="O137" t="s">
        <v>33</v>
      </c>
      <c r="P137" s="65">
        <v>28689</v>
      </c>
      <c r="Q137" s="168">
        <v>38</v>
      </c>
    </row>
    <row r="138" spans="15:17">
      <c r="O138" t="s">
        <v>30</v>
      </c>
      <c r="P138" s="13">
        <v>21944</v>
      </c>
      <c r="Q138" s="15">
        <v>24.940331416361701</v>
      </c>
    </row>
    <row r="139" spans="15:17">
      <c r="O139" t="s">
        <v>29</v>
      </c>
      <c r="P139" s="31">
        <v>18223</v>
      </c>
      <c r="Q139" s="33">
        <v>30</v>
      </c>
    </row>
    <row r="140" spans="15:17">
      <c r="O140" t="s">
        <v>20</v>
      </c>
      <c r="P140" s="19">
        <v>17916</v>
      </c>
      <c r="Q140" s="23">
        <v>33.158099999999997</v>
      </c>
    </row>
    <row r="141" spans="15:17">
      <c r="O141" t="s">
        <v>19</v>
      </c>
      <c r="P141" t="s">
        <v>35</v>
      </c>
      <c r="Q141" s="109" t="s">
        <v>35</v>
      </c>
    </row>
    <row r="142" spans="15:17">
      <c r="O142" t="s">
        <v>34</v>
      </c>
      <c r="P142" s="54">
        <v>3972</v>
      </c>
      <c r="Q142" s="134">
        <v>25.77</v>
      </c>
    </row>
    <row r="143" spans="15:17">
      <c r="Q143" s="109"/>
    </row>
    <row r="145" spans="15:17">
      <c r="O145" t="s">
        <v>136</v>
      </c>
      <c r="P145" s="247" t="s">
        <v>11</v>
      </c>
      <c r="Q145" s="248"/>
    </row>
    <row r="146" spans="15:17" ht="17" thickBot="1">
      <c r="O146" t="s">
        <v>18</v>
      </c>
      <c r="P146" s="7" t="s">
        <v>15</v>
      </c>
      <c r="Q146" s="6" t="s">
        <v>16</v>
      </c>
    </row>
    <row r="147" spans="15:17">
      <c r="O147" t="s">
        <v>33</v>
      </c>
      <c r="P147" s="13">
        <v>170</v>
      </c>
      <c r="Q147" s="15">
        <v>28.8</v>
      </c>
    </row>
    <row r="148" spans="15:17">
      <c r="O148" t="s">
        <v>30</v>
      </c>
      <c r="P148" s="14">
        <v>470</v>
      </c>
      <c r="Q148" s="15">
        <v>15.0979762287183</v>
      </c>
    </row>
    <row r="149" spans="15:17">
      <c r="O149" t="s">
        <v>29</v>
      </c>
      <c r="P149" s="31">
        <v>355</v>
      </c>
      <c r="Q149" s="30">
        <v>52.4</v>
      </c>
    </row>
    <row r="150" spans="15:17">
      <c r="O150" t="s">
        <v>20</v>
      </c>
      <c r="P150" s="19">
        <v>391</v>
      </c>
      <c r="Q150" s="18">
        <v>58.974400000000003</v>
      </c>
    </row>
    <row r="151" spans="15:17">
      <c r="O151" t="s">
        <v>19</v>
      </c>
      <c r="P151" t="s">
        <v>35</v>
      </c>
      <c r="Q151" s="109" t="s">
        <v>35</v>
      </c>
    </row>
    <row r="152" spans="15:17">
      <c r="O152" t="s">
        <v>34</v>
      </c>
      <c r="P152" s="54">
        <v>19</v>
      </c>
      <c r="Q152" s="55">
        <v>17.27</v>
      </c>
    </row>
    <row r="153" spans="15:17">
      <c r="P153" s="247" t="s">
        <v>11</v>
      </c>
      <c r="Q153" s="248"/>
    </row>
    <row r="154" spans="15:17" ht="17" thickBot="1">
      <c r="O154" t="s">
        <v>18</v>
      </c>
      <c r="P154" s="7" t="s">
        <v>15</v>
      </c>
      <c r="Q154" s="6" t="s">
        <v>16</v>
      </c>
    </row>
    <row r="155" spans="15:17">
      <c r="O155" t="s">
        <v>33</v>
      </c>
      <c r="P155">
        <v>10639</v>
      </c>
      <c r="Q155">
        <v>39.200000000000003</v>
      </c>
    </row>
    <row r="156" spans="15:17">
      <c r="O156" t="s">
        <v>30</v>
      </c>
      <c r="P156" s="14">
        <v>9952</v>
      </c>
      <c r="Q156" s="15">
        <v>11.310890368922299</v>
      </c>
    </row>
    <row r="157" spans="15:17">
      <c r="O157" t="s">
        <v>29</v>
      </c>
      <c r="P157" s="31">
        <v>8436</v>
      </c>
      <c r="Q157" s="33">
        <v>35.9</v>
      </c>
    </row>
    <row r="158" spans="15:17">
      <c r="O158" t="s">
        <v>20</v>
      </c>
      <c r="P158" s="19">
        <v>8775</v>
      </c>
      <c r="Q158" s="23">
        <v>39.471899999999998</v>
      </c>
    </row>
    <row r="159" spans="15:17">
      <c r="O159" t="s">
        <v>19</v>
      </c>
      <c r="P159" t="s">
        <v>35</v>
      </c>
      <c r="Q159" s="109" t="s">
        <v>35</v>
      </c>
    </row>
    <row r="160" spans="15:17">
      <c r="O160" t="s">
        <v>34</v>
      </c>
      <c r="P160" s="54">
        <v>1971</v>
      </c>
      <c r="Q160" s="134">
        <v>8.7200000000000006</v>
      </c>
    </row>
  </sheetData>
  <mergeCells count="46">
    <mergeCell ref="H38:I38"/>
    <mergeCell ref="B92:C92"/>
    <mergeCell ref="B100:C100"/>
    <mergeCell ref="D2:E2"/>
    <mergeCell ref="B38:C38"/>
    <mergeCell ref="B46:C46"/>
    <mergeCell ref="B56:C56"/>
    <mergeCell ref="B64:C64"/>
    <mergeCell ref="B74:C74"/>
    <mergeCell ref="B82:C82"/>
    <mergeCell ref="B2:C2"/>
    <mergeCell ref="B10:C10"/>
    <mergeCell ref="B20:C20"/>
    <mergeCell ref="B28:C28"/>
    <mergeCell ref="P73:Q73"/>
    <mergeCell ref="P81:Q81"/>
    <mergeCell ref="P91:Q91"/>
    <mergeCell ref="H46:I46"/>
    <mergeCell ref="L2:M3"/>
    <mergeCell ref="L11:M12"/>
    <mergeCell ref="L20:M21"/>
    <mergeCell ref="P9:Q9"/>
    <mergeCell ref="P19:Q19"/>
    <mergeCell ref="P27:Q27"/>
    <mergeCell ref="P37:Q37"/>
    <mergeCell ref="P45:Q45"/>
    <mergeCell ref="H2:I2"/>
    <mergeCell ref="H10:I10"/>
    <mergeCell ref="H20:I20"/>
    <mergeCell ref="H28:I28"/>
    <mergeCell ref="P145:Q145"/>
    <mergeCell ref="P153:Q153"/>
    <mergeCell ref="P1:Q1"/>
    <mergeCell ref="L32:M33"/>
    <mergeCell ref="L42:M43"/>
    <mergeCell ref="L52:M53"/>
    <mergeCell ref="L65:M66"/>
    <mergeCell ref="L76:M77"/>
    <mergeCell ref="L87:M88"/>
    <mergeCell ref="P99:Q99"/>
    <mergeCell ref="P109:Q109"/>
    <mergeCell ref="P117:Q117"/>
    <mergeCell ref="P127:Q127"/>
    <mergeCell ref="P135:Q135"/>
    <mergeCell ref="P55:Q55"/>
    <mergeCell ref="P63:Q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01"/>
  <sheetViews>
    <sheetView topLeftCell="N22" zoomScale="88" workbookViewId="0">
      <selection activeCell="AC24" sqref="AC24"/>
    </sheetView>
  </sheetViews>
  <sheetFormatPr baseColWidth="10" defaultColWidth="10.83203125" defaultRowHeight="16"/>
  <sheetData>
    <row r="1" spans="1:49" ht="17" thickBot="1"/>
    <row r="2" spans="1:49" ht="35" customHeight="1">
      <c r="R2" s="266"/>
      <c r="S2" s="267"/>
    </row>
    <row r="3" spans="1:49" ht="17" thickBot="1">
      <c r="R3" s="268"/>
      <c r="S3" s="269"/>
    </row>
    <row r="4" spans="1:49" s="2" customFormat="1" ht="25.25" customHeight="1">
      <c r="A4" s="12" t="s">
        <v>18</v>
      </c>
      <c r="B4" s="259" t="s">
        <v>0</v>
      </c>
      <c r="C4" s="261" t="s">
        <v>1</v>
      </c>
      <c r="D4" s="263" t="s">
        <v>2</v>
      </c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5"/>
      <c r="R4" s="243" t="s">
        <v>37</v>
      </c>
      <c r="S4" s="244"/>
      <c r="T4" s="243" t="s">
        <v>4</v>
      </c>
      <c r="U4" s="244"/>
      <c r="V4" s="243" t="s">
        <v>5</v>
      </c>
      <c r="W4" s="244"/>
      <c r="X4" s="252" t="s">
        <v>6</v>
      </c>
      <c r="Y4" s="254" t="s">
        <v>7</v>
      </c>
    </row>
    <row r="5" spans="1:49" s="2" customFormat="1" ht="25.25" customHeight="1">
      <c r="A5" s="1"/>
      <c r="B5" s="260"/>
      <c r="C5" s="262"/>
      <c r="D5" s="256" t="s">
        <v>8</v>
      </c>
      <c r="E5" s="248"/>
      <c r="F5" s="257" t="s">
        <v>9</v>
      </c>
      <c r="G5" s="248"/>
      <c r="H5" s="247" t="s">
        <v>10</v>
      </c>
      <c r="I5" s="248"/>
      <c r="J5" s="247" t="s">
        <v>11</v>
      </c>
      <c r="K5" s="248"/>
      <c r="L5" s="247" t="s">
        <v>12</v>
      </c>
      <c r="M5" s="248"/>
      <c r="N5" s="247" t="s">
        <v>13</v>
      </c>
      <c r="O5" s="248"/>
      <c r="P5" s="247" t="s">
        <v>14</v>
      </c>
      <c r="Q5" s="258"/>
      <c r="R5" s="245"/>
      <c r="S5" s="246"/>
      <c r="T5" s="245"/>
      <c r="U5" s="246"/>
      <c r="V5" s="245"/>
      <c r="W5" s="246"/>
      <c r="X5" s="253"/>
      <c r="Y5" s="255"/>
    </row>
    <row r="6" spans="1:49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  <c r="AP6" s="226"/>
    </row>
    <row r="7" spans="1:49" ht="68">
      <c r="A7" t="s">
        <v>33</v>
      </c>
      <c r="B7" t="s">
        <v>36</v>
      </c>
      <c r="C7" s="41">
        <v>2400</v>
      </c>
      <c r="D7" s="14">
        <v>7</v>
      </c>
      <c r="E7" s="15">
        <v>0.3</v>
      </c>
      <c r="F7" s="13">
        <v>7</v>
      </c>
      <c r="G7" s="15">
        <v>0.3</v>
      </c>
      <c r="H7" s="14">
        <v>566</v>
      </c>
      <c r="I7" s="15">
        <v>23.6</v>
      </c>
      <c r="J7" s="13">
        <v>639</v>
      </c>
      <c r="K7" s="15">
        <v>26.6</v>
      </c>
      <c r="L7" s="13">
        <v>1151</v>
      </c>
      <c r="M7" s="15">
        <v>48</v>
      </c>
      <c r="N7" t="s">
        <v>35</v>
      </c>
      <c r="O7" s="109" t="s">
        <v>35</v>
      </c>
      <c r="P7" s="91" t="s">
        <v>35</v>
      </c>
      <c r="Q7" s="85" t="s">
        <v>35</v>
      </c>
      <c r="R7">
        <v>2400</v>
      </c>
      <c r="S7">
        <v>100</v>
      </c>
      <c r="T7" t="s">
        <v>35</v>
      </c>
      <c r="V7" s="14">
        <v>66</v>
      </c>
      <c r="W7" s="42">
        <v>2.75</v>
      </c>
      <c r="X7" s="43"/>
      <c r="Y7" s="45"/>
      <c r="AO7" t="s">
        <v>18</v>
      </c>
      <c r="AP7" s="71" t="s">
        <v>42</v>
      </c>
      <c r="AQ7" s="71" t="s">
        <v>55</v>
      </c>
      <c r="AR7" s="71" t="s">
        <v>56</v>
      </c>
      <c r="AS7" s="230" t="s">
        <v>132</v>
      </c>
      <c r="AT7" s="231" t="s">
        <v>18</v>
      </c>
      <c r="AU7" s="232" t="s">
        <v>134</v>
      </c>
      <c r="AV7" s="233" t="s">
        <v>133</v>
      </c>
      <c r="AW7" s="231" t="s">
        <v>135</v>
      </c>
    </row>
    <row r="8" spans="1:49">
      <c r="A8" t="s">
        <v>30</v>
      </c>
      <c r="B8" t="s">
        <v>36</v>
      </c>
      <c r="C8" s="79">
        <v>3712</v>
      </c>
      <c r="D8" s="40">
        <v>17</v>
      </c>
      <c r="E8" s="48">
        <v>0.46132971506105802</v>
      </c>
      <c r="F8" s="13">
        <v>12</v>
      </c>
      <c r="G8" s="48">
        <v>0.32564450474898199</v>
      </c>
      <c r="H8" s="13">
        <v>622</v>
      </c>
      <c r="I8" s="48">
        <v>16.879240162822299</v>
      </c>
      <c r="J8" s="13">
        <v>1606</v>
      </c>
      <c r="K8" s="48">
        <v>43.582089552238799</v>
      </c>
      <c r="L8" s="51">
        <v>1311</v>
      </c>
      <c r="M8" s="48">
        <v>35.576662143826297</v>
      </c>
      <c r="N8" s="13">
        <v>0</v>
      </c>
      <c r="O8" s="48">
        <v>0</v>
      </c>
      <c r="P8" s="51">
        <v>117</v>
      </c>
      <c r="Q8" s="39">
        <v>3.17503392130258</v>
      </c>
      <c r="R8" s="13">
        <v>3685</v>
      </c>
      <c r="S8" s="15">
        <v>99.272629310344797</v>
      </c>
      <c r="T8" s="40">
        <v>27</v>
      </c>
      <c r="U8" s="39">
        <v>0.72737068965517204</v>
      </c>
      <c r="V8" s="79">
        <v>105</v>
      </c>
      <c r="W8" s="15">
        <v>2.8286637931034502</v>
      </c>
      <c r="X8" s="52">
        <v>4221</v>
      </c>
      <c r="Y8" s="53">
        <v>100</v>
      </c>
      <c r="AO8" t="s">
        <v>33</v>
      </c>
      <c r="AP8" s="41">
        <v>2400</v>
      </c>
      <c r="AQ8" s="13">
        <v>1843</v>
      </c>
      <c r="AR8" s="13">
        <v>678</v>
      </c>
      <c r="AS8">
        <v>2064312</v>
      </c>
      <c r="AT8" s="234" t="s">
        <v>33</v>
      </c>
      <c r="AU8" s="235">
        <v>2400</v>
      </c>
      <c r="AV8" s="234">
        <v>2064312</v>
      </c>
      <c r="AW8" s="236">
        <f t="shared" ref="AW8:AW13" si="0">AU8/AV8</f>
        <v>1.1626149535535325E-3</v>
      </c>
    </row>
    <row r="9" spans="1:49">
      <c r="A9" t="s">
        <v>29</v>
      </c>
      <c r="B9" t="s">
        <v>36</v>
      </c>
      <c r="C9" s="79">
        <v>2682</v>
      </c>
      <c r="D9" s="40">
        <v>11</v>
      </c>
      <c r="E9" s="48">
        <v>0.4</v>
      </c>
      <c r="F9" s="13">
        <v>20</v>
      </c>
      <c r="G9" s="48">
        <v>0.8</v>
      </c>
      <c r="H9" s="13">
        <v>228</v>
      </c>
      <c r="I9" s="48">
        <v>8.6</v>
      </c>
      <c r="J9" s="13">
        <v>1210</v>
      </c>
      <c r="K9" s="48">
        <v>45.8</v>
      </c>
      <c r="L9" s="51">
        <v>1058</v>
      </c>
      <c r="M9" s="48">
        <v>40.1</v>
      </c>
      <c r="N9" s="13">
        <v>0</v>
      </c>
      <c r="O9" s="48">
        <v>0</v>
      </c>
      <c r="P9" s="51">
        <v>114</v>
      </c>
      <c r="Q9" s="39">
        <v>4.3</v>
      </c>
      <c r="R9" s="13">
        <v>2641</v>
      </c>
      <c r="S9" s="15">
        <v>98.5</v>
      </c>
      <c r="T9" s="40">
        <v>41</v>
      </c>
      <c r="U9" s="39">
        <v>1.5</v>
      </c>
      <c r="V9" s="27">
        <v>46</v>
      </c>
      <c r="W9" s="33">
        <v>1.7</v>
      </c>
      <c r="X9" s="34">
        <v>4134</v>
      </c>
      <c r="Y9" s="35">
        <v>99.9</v>
      </c>
      <c r="AO9" t="s">
        <v>30</v>
      </c>
      <c r="AP9" s="79">
        <v>3712</v>
      </c>
      <c r="AQ9" s="79">
        <v>2662</v>
      </c>
      <c r="AR9" s="79">
        <v>1050</v>
      </c>
      <c r="AS9">
        <v>2066692</v>
      </c>
      <c r="AT9" s="234" t="s">
        <v>30</v>
      </c>
      <c r="AU9" s="237">
        <v>3712</v>
      </c>
      <c r="AV9" s="234">
        <v>2066692</v>
      </c>
      <c r="AW9" s="236">
        <f t="shared" si="0"/>
        <v>1.796107015462391E-3</v>
      </c>
    </row>
    <row r="10" spans="1:49">
      <c r="A10" t="s">
        <v>20</v>
      </c>
      <c r="B10" t="s">
        <v>36</v>
      </c>
      <c r="C10" s="16">
        <v>2833</v>
      </c>
      <c r="D10" s="24">
        <v>6</v>
      </c>
      <c r="E10" s="18">
        <v>0.21870000000000001</v>
      </c>
      <c r="F10" s="19">
        <v>19</v>
      </c>
      <c r="G10" s="18">
        <v>0.69240000000000002</v>
      </c>
      <c r="H10" s="19">
        <v>450</v>
      </c>
      <c r="I10" s="18">
        <v>16.3994</v>
      </c>
      <c r="J10" s="19">
        <v>1270</v>
      </c>
      <c r="K10" s="18">
        <v>46.282800000000002</v>
      </c>
      <c r="L10" s="20">
        <v>900</v>
      </c>
      <c r="M10" s="18">
        <v>32.7988</v>
      </c>
      <c r="N10" s="19">
        <v>1</v>
      </c>
      <c r="O10" s="18">
        <v>3.6400000000000002E-2</v>
      </c>
      <c r="P10" s="21">
        <v>98</v>
      </c>
      <c r="Q10" s="22">
        <v>3.5714299999999999</v>
      </c>
      <c r="R10" s="24">
        <v>2744</v>
      </c>
      <c r="S10" s="85">
        <v>96.9</v>
      </c>
      <c r="T10" s="17">
        <v>89</v>
      </c>
      <c r="U10" s="22">
        <v>3.1415500000000001</v>
      </c>
      <c r="V10" s="92">
        <v>108</v>
      </c>
      <c r="W10" s="23">
        <v>3.8121999999999998</v>
      </c>
      <c r="X10" s="25">
        <v>4081</v>
      </c>
      <c r="Y10" s="26">
        <v>99.706000000000003</v>
      </c>
      <c r="AO10" t="s">
        <v>29</v>
      </c>
      <c r="AP10" s="79">
        <v>2682</v>
      </c>
      <c r="AQ10" s="27">
        <v>1898</v>
      </c>
      <c r="AR10" s="27">
        <v>784</v>
      </c>
      <c r="AS10">
        <v>2046857</v>
      </c>
      <c r="AT10" s="234" t="s">
        <v>29</v>
      </c>
      <c r="AU10" s="237">
        <v>2682</v>
      </c>
      <c r="AV10" s="234">
        <v>2046857</v>
      </c>
      <c r="AW10" s="236">
        <f t="shared" si="0"/>
        <v>1.3103015989881072E-3</v>
      </c>
    </row>
    <row r="11" spans="1:49">
      <c r="A11" t="s">
        <v>19</v>
      </c>
      <c r="B11" t="s">
        <v>36</v>
      </c>
      <c r="C11" s="121">
        <v>2009</v>
      </c>
      <c r="D11" s="121">
        <v>3</v>
      </c>
      <c r="E11" s="124">
        <v>0.15340000000000001</v>
      </c>
      <c r="F11" s="125">
        <v>15</v>
      </c>
      <c r="G11" s="124">
        <v>0.76690000000000003</v>
      </c>
      <c r="H11" s="125">
        <v>342</v>
      </c>
      <c r="I11" s="124">
        <v>17.4847</v>
      </c>
      <c r="J11" s="125">
        <v>829</v>
      </c>
      <c r="K11" s="124">
        <v>42.382399999999997</v>
      </c>
      <c r="L11" s="126">
        <v>672</v>
      </c>
      <c r="M11" s="124">
        <v>34.355800000000002</v>
      </c>
      <c r="N11" s="125">
        <v>0</v>
      </c>
      <c r="O11" s="124">
        <v>0</v>
      </c>
      <c r="P11" s="127">
        <v>95</v>
      </c>
      <c r="Q11" s="123">
        <v>4.8569000000000004</v>
      </c>
      <c r="R11" s="121">
        <v>1956</v>
      </c>
      <c r="S11" s="106">
        <v>97.4</v>
      </c>
      <c r="T11" s="122">
        <v>53</v>
      </c>
      <c r="U11" s="123">
        <v>2.6381000000000001</v>
      </c>
      <c r="V11" s="128">
        <v>75</v>
      </c>
      <c r="W11" s="129">
        <v>3.7332000000000001</v>
      </c>
      <c r="X11" s="130">
        <v>4145</v>
      </c>
      <c r="Y11" s="131">
        <v>100</v>
      </c>
      <c r="AO11" t="s">
        <v>20</v>
      </c>
      <c r="AP11" s="16">
        <v>2833</v>
      </c>
      <c r="AQ11" s="16">
        <v>2017</v>
      </c>
      <c r="AR11" s="16">
        <v>816</v>
      </c>
      <c r="AS11">
        <v>2041779</v>
      </c>
      <c r="AT11" s="234" t="s">
        <v>20</v>
      </c>
      <c r="AU11" s="237">
        <v>2833</v>
      </c>
      <c r="AV11" s="234">
        <v>2041779</v>
      </c>
      <c r="AW11" s="236">
        <f t="shared" si="0"/>
        <v>1.3875154950658225E-3</v>
      </c>
    </row>
    <row r="12" spans="1:49">
      <c r="A12" t="s">
        <v>34</v>
      </c>
      <c r="B12" t="s">
        <v>36</v>
      </c>
      <c r="C12">
        <v>402</v>
      </c>
      <c r="D12" s="54">
        <v>0</v>
      </c>
      <c r="E12" s="55">
        <v>0</v>
      </c>
      <c r="F12" s="54">
        <v>2</v>
      </c>
      <c r="G12" s="55">
        <v>0.5</v>
      </c>
      <c r="H12">
        <v>33</v>
      </c>
      <c r="I12">
        <v>8.1999999999999993</v>
      </c>
      <c r="J12">
        <v>58</v>
      </c>
      <c r="K12">
        <v>14.4</v>
      </c>
      <c r="L12">
        <v>274</v>
      </c>
      <c r="M12">
        <v>68.2</v>
      </c>
      <c r="N12">
        <v>1</v>
      </c>
      <c r="O12">
        <v>0.2</v>
      </c>
      <c r="P12">
        <v>27</v>
      </c>
      <c r="Q12">
        <v>6.7</v>
      </c>
      <c r="R12">
        <v>395</v>
      </c>
      <c r="S12">
        <v>98.3</v>
      </c>
      <c r="T12" s="54">
        <v>7</v>
      </c>
      <c r="U12">
        <v>1.7</v>
      </c>
      <c r="V12">
        <v>12</v>
      </c>
      <c r="W12">
        <v>3</v>
      </c>
      <c r="X12" s="54">
        <v>3366</v>
      </c>
      <c r="Y12" s="55">
        <v>82.74</v>
      </c>
      <c r="AO12" t="s">
        <v>19</v>
      </c>
      <c r="AP12" s="121">
        <v>2009</v>
      </c>
      <c r="AQ12" s="24">
        <v>1410</v>
      </c>
      <c r="AR12" s="24">
        <v>599</v>
      </c>
      <c r="AS12">
        <v>2001529</v>
      </c>
      <c r="AT12" s="234" t="s">
        <v>19</v>
      </c>
      <c r="AU12" s="237">
        <v>2009</v>
      </c>
      <c r="AV12" s="234">
        <v>2001529</v>
      </c>
      <c r="AW12" s="236">
        <f t="shared" si="0"/>
        <v>1.0037326463918335E-3</v>
      </c>
    </row>
    <row r="13" spans="1:49">
      <c r="C13" s="13"/>
      <c r="D13" s="44"/>
      <c r="E13" s="44"/>
      <c r="F13" s="44"/>
      <c r="G13" s="44"/>
      <c r="H13" s="44" t="s">
        <v>94</v>
      </c>
      <c r="I13" s="44" t="s">
        <v>95</v>
      </c>
      <c r="J13" s="44"/>
      <c r="K13" s="44" t="s">
        <v>96</v>
      </c>
      <c r="L13" t="s">
        <v>97</v>
      </c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AO13" t="s">
        <v>34</v>
      </c>
      <c r="AP13">
        <v>402</v>
      </c>
      <c r="AQ13">
        <v>278</v>
      </c>
      <c r="AR13">
        <v>124</v>
      </c>
      <c r="AS13">
        <v>1887316</v>
      </c>
      <c r="AT13" s="234" t="s">
        <v>34</v>
      </c>
      <c r="AU13" s="234">
        <v>402</v>
      </c>
      <c r="AV13" s="234">
        <v>1887316</v>
      </c>
      <c r="AW13" s="236">
        <f t="shared" si="0"/>
        <v>2.1300089651123607E-4</v>
      </c>
    </row>
    <row r="14" spans="1:49">
      <c r="C14" s="13"/>
      <c r="H14">
        <v>100</v>
      </c>
      <c r="I14">
        <v>60</v>
      </c>
      <c r="K14">
        <v>40</v>
      </c>
      <c r="L14">
        <v>20</v>
      </c>
      <c r="T14" s="44"/>
      <c r="U14" s="44"/>
      <c r="V14" s="44"/>
      <c r="W14" s="44"/>
      <c r="X14" s="44"/>
    </row>
    <row r="15" spans="1:49">
      <c r="C15" s="44"/>
      <c r="E15" s="57"/>
      <c r="F15" s="56"/>
      <c r="G15" s="57"/>
      <c r="H15" s="56"/>
      <c r="I15" s="181">
        <v>0.6</v>
      </c>
      <c r="J15" s="56"/>
      <c r="K15" s="57"/>
      <c r="L15" s="181">
        <v>0.5</v>
      </c>
      <c r="N15" s="57" t="s">
        <v>98</v>
      </c>
      <c r="O15" s="57"/>
      <c r="P15" s="56"/>
      <c r="Q15" s="57"/>
      <c r="R15" s="56"/>
      <c r="S15" s="57"/>
      <c r="V15" s="44"/>
      <c r="W15" s="44"/>
      <c r="X15" s="44"/>
    </row>
    <row r="16" spans="1:49" ht="17" thickBot="1">
      <c r="C16" s="44"/>
      <c r="D16" s="56"/>
      <c r="E16" s="57"/>
      <c r="F16" s="56"/>
      <c r="G16" s="57"/>
      <c r="H16" s="56"/>
      <c r="I16" s="57"/>
      <c r="J16" s="56"/>
      <c r="K16" s="57"/>
      <c r="L16" s="56"/>
      <c r="M16" s="57"/>
      <c r="N16" s="56"/>
      <c r="O16" s="57"/>
      <c r="P16" s="56"/>
      <c r="Q16" s="57"/>
      <c r="R16" s="56"/>
      <c r="S16" s="57"/>
      <c r="V16" s="44"/>
      <c r="W16" s="44"/>
      <c r="X16" s="44"/>
    </row>
    <row r="17" spans="1:47" s="2" customFormat="1" ht="25.25" customHeight="1">
      <c r="A17" s="12" t="s">
        <v>18</v>
      </c>
      <c r="B17" s="259" t="s">
        <v>0</v>
      </c>
      <c r="C17" s="261" t="s">
        <v>1</v>
      </c>
      <c r="D17" s="263" t="s">
        <v>2</v>
      </c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5"/>
      <c r="R17" s="243" t="s">
        <v>37</v>
      </c>
      <c r="S17" s="244"/>
      <c r="T17" s="243" t="s">
        <v>4</v>
      </c>
      <c r="U17" s="244"/>
      <c r="V17" s="243" t="s">
        <v>5</v>
      </c>
      <c r="W17" s="244"/>
      <c r="X17" s="252" t="s">
        <v>6</v>
      </c>
      <c r="Y17" s="254" t="s">
        <v>7</v>
      </c>
      <c r="AO17" t="s">
        <v>18</v>
      </c>
      <c r="AP17" s="71" t="s">
        <v>92</v>
      </c>
      <c r="AQ17" s="71" t="s">
        <v>88</v>
      </c>
      <c r="AR17" s="71" t="s">
        <v>90</v>
      </c>
      <c r="AT17" s="228" t="s">
        <v>132</v>
      </c>
    </row>
    <row r="18" spans="1:47" s="2" customFormat="1" ht="25.25" customHeight="1" thickBot="1">
      <c r="A18" s="1"/>
      <c r="B18" s="260"/>
      <c r="C18" s="262"/>
      <c r="D18" s="256" t="s">
        <v>8</v>
      </c>
      <c r="E18" s="248"/>
      <c r="F18" s="257" t="s">
        <v>9</v>
      </c>
      <c r="G18" s="248"/>
      <c r="H18" s="247" t="s">
        <v>10</v>
      </c>
      <c r="I18" s="248"/>
      <c r="J18" s="247" t="s">
        <v>11</v>
      </c>
      <c r="K18" s="248"/>
      <c r="L18" s="247" t="s">
        <v>12</v>
      </c>
      <c r="M18" s="248"/>
      <c r="N18" s="247" t="s">
        <v>13</v>
      </c>
      <c r="O18" s="248"/>
      <c r="P18" s="247" t="s">
        <v>14</v>
      </c>
      <c r="Q18" s="258"/>
      <c r="R18" s="245"/>
      <c r="S18" s="246"/>
      <c r="T18" s="245"/>
      <c r="U18" s="246"/>
      <c r="V18" s="245"/>
      <c r="W18" s="246"/>
      <c r="X18" s="253"/>
      <c r="Y18" s="255"/>
      <c r="AO18" t="s">
        <v>33</v>
      </c>
      <c r="AP18" s="101">
        <v>462</v>
      </c>
      <c r="AQ18">
        <v>374</v>
      </c>
      <c r="AR18" s="13">
        <v>88</v>
      </c>
      <c r="AT18">
        <v>2064312</v>
      </c>
      <c r="AU18" s="180"/>
    </row>
    <row r="19" spans="1:47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5" t="s">
        <v>15</v>
      </c>
      <c r="S19" s="9" t="s">
        <v>17</v>
      </c>
      <c r="T19" s="5" t="s">
        <v>15</v>
      </c>
      <c r="U19" s="9" t="s">
        <v>17</v>
      </c>
      <c r="V19" s="7" t="s">
        <v>15</v>
      </c>
      <c r="W19" s="9" t="s">
        <v>17</v>
      </c>
      <c r="X19" s="10"/>
      <c r="Y19" s="11"/>
      <c r="AO19" t="s">
        <v>30</v>
      </c>
      <c r="AP19" s="13">
        <v>599</v>
      </c>
      <c r="AQ19" s="13">
        <v>470</v>
      </c>
      <c r="AR19" s="13">
        <v>129</v>
      </c>
      <c r="AT19">
        <v>2066692</v>
      </c>
      <c r="AU19" s="180"/>
    </row>
    <row r="20" spans="1:47">
      <c r="A20" t="s">
        <v>33</v>
      </c>
      <c r="B20" t="s">
        <v>38</v>
      </c>
      <c r="C20" s="65">
        <v>125342</v>
      </c>
      <c r="D20" s="54">
        <v>2426</v>
      </c>
      <c r="E20">
        <v>1.9</v>
      </c>
      <c r="F20" s="54">
        <v>6861</v>
      </c>
      <c r="G20">
        <v>5.5</v>
      </c>
      <c r="H20" s="54">
        <v>26314</v>
      </c>
      <c r="I20">
        <v>21</v>
      </c>
      <c r="J20" s="54">
        <v>46944</v>
      </c>
      <c r="K20">
        <v>37.5</v>
      </c>
      <c r="L20" s="54">
        <v>56583</v>
      </c>
      <c r="M20">
        <v>45.2</v>
      </c>
      <c r="N20" t="s">
        <v>35</v>
      </c>
      <c r="O20" s="109" t="s">
        <v>35</v>
      </c>
      <c r="P20" s="91" t="s">
        <v>35</v>
      </c>
      <c r="Q20" s="85" t="s">
        <v>35</v>
      </c>
      <c r="R20">
        <v>124638</v>
      </c>
      <c r="S20">
        <v>99.4</v>
      </c>
      <c r="T20" s="65">
        <v>704</v>
      </c>
      <c r="U20">
        <v>0.6</v>
      </c>
      <c r="V20">
        <v>7161</v>
      </c>
      <c r="W20">
        <v>5.7</v>
      </c>
      <c r="AO20" t="s">
        <v>29</v>
      </c>
      <c r="AP20" s="31">
        <v>433</v>
      </c>
      <c r="AQ20" s="27">
        <v>326</v>
      </c>
      <c r="AR20" s="27">
        <v>107</v>
      </c>
      <c r="AS20" s="2"/>
      <c r="AT20">
        <v>2046857</v>
      </c>
      <c r="AU20" s="180"/>
    </row>
    <row r="21" spans="1:47">
      <c r="A21" t="s">
        <v>30</v>
      </c>
      <c r="B21" t="s">
        <v>38</v>
      </c>
      <c r="C21" s="13">
        <v>111018</v>
      </c>
      <c r="D21" s="13">
        <v>2443</v>
      </c>
      <c r="E21" s="15">
        <v>2.2299301720596998</v>
      </c>
      <c r="F21" s="13">
        <v>1096</v>
      </c>
      <c r="G21" s="15">
        <v>1.0004107525900201</v>
      </c>
      <c r="H21" s="13">
        <v>23696</v>
      </c>
      <c r="I21" s="15">
        <v>21.629318607092301</v>
      </c>
      <c r="J21" s="13">
        <v>39443</v>
      </c>
      <c r="K21" s="15">
        <v>36.002920907306802</v>
      </c>
      <c r="L21" s="13">
        <v>39766</v>
      </c>
      <c r="M21" s="15">
        <v>36.297749988590198</v>
      </c>
      <c r="N21" s="13">
        <v>266</v>
      </c>
      <c r="O21" s="15">
        <v>0.242800419880425</v>
      </c>
      <c r="P21" s="13">
        <v>2845</v>
      </c>
      <c r="Q21" s="15">
        <v>2.5968691524804899</v>
      </c>
      <c r="R21" s="13">
        <v>109555</v>
      </c>
      <c r="S21" s="15">
        <v>98.682195679979799</v>
      </c>
      <c r="T21" s="13">
        <v>1463</v>
      </c>
      <c r="U21" s="15">
        <v>1.3178043200201801</v>
      </c>
      <c r="V21" s="13">
        <v>6025</v>
      </c>
      <c r="W21" s="15">
        <v>5.4270478661118</v>
      </c>
      <c r="X21" s="163">
        <v>95635</v>
      </c>
      <c r="Y21" s="45">
        <v>99.872431641135606</v>
      </c>
      <c r="AO21" t="s">
        <v>20</v>
      </c>
      <c r="AP21" s="16">
        <v>708</v>
      </c>
      <c r="AQ21" s="16">
        <v>555</v>
      </c>
      <c r="AR21" s="16">
        <v>153</v>
      </c>
      <c r="AS21" s="2"/>
      <c r="AT21">
        <v>2041779</v>
      </c>
      <c r="AU21" s="180"/>
    </row>
    <row r="22" spans="1:47" ht="17" thickBot="1">
      <c r="A22" t="s">
        <v>29</v>
      </c>
      <c r="B22" t="s">
        <v>38</v>
      </c>
      <c r="C22" s="31">
        <v>111215</v>
      </c>
      <c r="D22" s="31">
        <v>1944</v>
      </c>
      <c r="E22" s="33">
        <v>1.8</v>
      </c>
      <c r="F22" s="31">
        <v>790</v>
      </c>
      <c r="G22" s="33">
        <v>0.7</v>
      </c>
      <c r="H22" s="31">
        <v>18271</v>
      </c>
      <c r="I22" s="33">
        <v>16.8</v>
      </c>
      <c r="J22" s="31">
        <v>33557</v>
      </c>
      <c r="K22" s="33">
        <v>30.9</v>
      </c>
      <c r="L22" s="31">
        <v>49144</v>
      </c>
      <c r="M22" s="33">
        <v>45.3</v>
      </c>
      <c r="N22" s="31">
        <v>241</v>
      </c>
      <c r="O22" s="33">
        <v>0.2</v>
      </c>
      <c r="P22" s="31">
        <v>4613</v>
      </c>
      <c r="Q22" s="33">
        <v>4.2</v>
      </c>
      <c r="R22" s="31">
        <v>108560</v>
      </c>
      <c r="S22" s="33">
        <v>97.6</v>
      </c>
      <c r="T22" s="31">
        <v>2655</v>
      </c>
      <c r="U22" s="33">
        <v>2.4</v>
      </c>
      <c r="V22" s="31">
        <v>5490</v>
      </c>
      <c r="W22" s="33">
        <v>4.9000000000000004</v>
      </c>
      <c r="X22" s="161">
        <v>95507</v>
      </c>
      <c r="Y22" s="143">
        <v>99.7</v>
      </c>
      <c r="AO22" t="s">
        <v>19</v>
      </c>
      <c r="AP22" s="88">
        <v>506</v>
      </c>
      <c r="AQ22" s="84">
        <v>399</v>
      </c>
      <c r="AR22" s="84">
        <v>107</v>
      </c>
      <c r="AS22" s="2"/>
      <c r="AT22">
        <v>2001529</v>
      </c>
      <c r="AU22" s="180"/>
    </row>
    <row r="23" spans="1:47" ht="17" thickBot="1">
      <c r="A23" t="s">
        <v>20</v>
      </c>
      <c r="B23" t="s">
        <v>38</v>
      </c>
      <c r="C23" s="16">
        <v>101161</v>
      </c>
      <c r="D23" s="66">
        <v>1586</v>
      </c>
      <c r="E23" s="18">
        <v>1.6165</v>
      </c>
      <c r="F23" s="19">
        <v>957</v>
      </c>
      <c r="G23" s="18">
        <v>0.97540000000000004</v>
      </c>
      <c r="H23" s="19">
        <v>20887</v>
      </c>
      <c r="I23" s="18">
        <v>21.288900000000002</v>
      </c>
      <c r="J23" s="20">
        <v>34110</v>
      </c>
      <c r="K23" s="18">
        <v>34.766399999999997</v>
      </c>
      <c r="L23" s="67">
        <v>36656</v>
      </c>
      <c r="M23" s="18">
        <v>37.361400000000003</v>
      </c>
      <c r="N23" s="20">
        <v>313</v>
      </c>
      <c r="O23" s="18">
        <v>0.31900000000000001</v>
      </c>
      <c r="P23" s="67">
        <v>3603</v>
      </c>
      <c r="Q23" s="22">
        <v>3.6723300000000001</v>
      </c>
      <c r="R23" s="66">
        <v>98112</v>
      </c>
      <c r="S23" s="22">
        <v>97</v>
      </c>
      <c r="T23" s="24">
        <v>3049</v>
      </c>
      <c r="U23" s="22">
        <v>3.0140099999999999</v>
      </c>
      <c r="V23" s="46">
        <v>5830</v>
      </c>
      <c r="W23" s="23">
        <v>5.7630999999999997</v>
      </c>
      <c r="X23" s="25">
        <v>96360</v>
      </c>
      <c r="Y23" s="26">
        <v>99.984999999999999</v>
      </c>
      <c r="AO23" t="s">
        <v>34</v>
      </c>
      <c r="AP23" s="102">
        <v>88</v>
      </c>
      <c r="AQ23" s="54">
        <v>74</v>
      </c>
      <c r="AR23" s="54">
        <v>14</v>
      </c>
      <c r="AS23" s="2"/>
      <c r="AT23">
        <v>1887316</v>
      </c>
      <c r="AU23" s="180"/>
    </row>
    <row r="24" spans="1:47" ht="17" thickBot="1">
      <c r="A24" t="s">
        <v>19</v>
      </c>
      <c r="B24" t="s">
        <v>38</v>
      </c>
      <c r="C24" s="16">
        <v>101652</v>
      </c>
      <c r="D24" s="66">
        <v>1223</v>
      </c>
      <c r="E24" s="18">
        <v>1.2464999999999999</v>
      </c>
      <c r="F24" s="19">
        <v>790</v>
      </c>
      <c r="G24" s="18">
        <v>0.80520000000000003</v>
      </c>
      <c r="H24" s="19">
        <v>20990</v>
      </c>
      <c r="I24" s="18">
        <v>21.392800000000001</v>
      </c>
      <c r="J24" s="20">
        <v>36934</v>
      </c>
      <c r="K24" s="18">
        <v>37.642800000000001</v>
      </c>
      <c r="L24" s="67">
        <v>34187</v>
      </c>
      <c r="M24" s="18">
        <v>34.8431</v>
      </c>
      <c r="N24" s="20">
        <v>234</v>
      </c>
      <c r="O24" s="18">
        <v>0.23849999999999999</v>
      </c>
      <c r="P24" s="67">
        <v>3759</v>
      </c>
      <c r="Q24" s="22">
        <v>3.8311000000000002</v>
      </c>
      <c r="R24" s="66">
        <v>98117</v>
      </c>
      <c r="S24" s="22">
        <v>96.5</v>
      </c>
      <c r="T24" s="24">
        <v>3535</v>
      </c>
      <c r="U24" s="22">
        <v>3.4775999999999998</v>
      </c>
      <c r="V24" s="46">
        <v>6012</v>
      </c>
      <c r="W24" s="23">
        <v>5.9142999999999999</v>
      </c>
      <c r="X24" s="25">
        <v>97632</v>
      </c>
      <c r="Y24" s="26">
        <v>99.988</v>
      </c>
    </row>
    <row r="25" spans="1:47">
      <c r="A25" t="s">
        <v>34</v>
      </c>
      <c r="B25" t="s">
        <v>38</v>
      </c>
      <c r="C25" s="88">
        <v>29666</v>
      </c>
      <c r="D25" s="84">
        <v>303</v>
      </c>
      <c r="E25" s="109">
        <v>1</v>
      </c>
      <c r="F25">
        <v>213</v>
      </c>
      <c r="G25">
        <v>0.7</v>
      </c>
      <c r="H25">
        <v>5677</v>
      </c>
      <c r="I25" s="109">
        <v>19.100000000000001</v>
      </c>
      <c r="J25">
        <v>7492</v>
      </c>
      <c r="K25" s="109">
        <v>25.3</v>
      </c>
      <c r="L25">
        <v>13493</v>
      </c>
      <c r="M25" s="109">
        <v>45.5</v>
      </c>
      <c r="N25">
        <v>64</v>
      </c>
      <c r="O25" s="109">
        <v>0.2</v>
      </c>
      <c r="P25" s="91">
        <v>1343</v>
      </c>
      <c r="Q25" s="85">
        <v>4.5</v>
      </c>
      <c r="R25" s="147">
        <v>28585</v>
      </c>
      <c r="S25" s="85">
        <v>96.4</v>
      </c>
      <c r="T25" s="146">
        <v>1081</v>
      </c>
      <c r="U25" s="133">
        <v>3.6</v>
      </c>
      <c r="V25" s="147">
        <v>1677</v>
      </c>
      <c r="W25">
        <v>5.7</v>
      </c>
      <c r="X25" s="136">
        <v>84270</v>
      </c>
      <c r="Y25" s="137">
        <v>88.15</v>
      </c>
    </row>
    <row r="26" spans="1:47" ht="17" thickBot="1">
      <c r="A26">
        <v>2023</v>
      </c>
      <c r="B26" t="s">
        <v>38</v>
      </c>
      <c r="C26" s="104"/>
      <c r="D26" s="104"/>
      <c r="E26" s="140"/>
      <c r="F26" s="141"/>
      <c r="G26" s="140"/>
      <c r="H26" s="141"/>
      <c r="I26" s="140"/>
      <c r="J26" s="141"/>
      <c r="K26" s="140"/>
      <c r="L26" s="141"/>
      <c r="M26" s="140"/>
      <c r="N26" s="141"/>
      <c r="O26" s="140"/>
      <c r="P26" s="142"/>
      <c r="Q26" s="106"/>
      <c r="R26" s="104"/>
      <c r="S26" s="106"/>
      <c r="T26" s="104"/>
      <c r="U26" s="106"/>
      <c r="V26" s="104"/>
      <c r="W26" s="141"/>
      <c r="X26" s="160"/>
      <c r="Y26" s="142"/>
    </row>
    <row r="27" spans="1:47" ht="29">
      <c r="A27">
        <v>2024</v>
      </c>
      <c r="B27" t="s">
        <v>38</v>
      </c>
      <c r="AO27" t="s">
        <v>18</v>
      </c>
      <c r="AP27" s="71" t="s">
        <v>93</v>
      </c>
      <c r="AQ27" s="229" t="s">
        <v>89</v>
      </c>
      <c r="AR27" s="229" t="s">
        <v>91</v>
      </c>
    </row>
    <row r="28" spans="1:47" ht="17" thickBot="1">
      <c r="C28" s="70"/>
      <c r="AO28" t="s">
        <v>33</v>
      </c>
      <c r="AP28" s="13">
        <v>2060</v>
      </c>
      <c r="AQ28" s="13">
        <v>1469</v>
      </c>
      <c r="AR28" s="13">
        <v>590</v>
      </c>
      <c r="AS28" s="176"/>
    </row>
    <row r="29" spans="1:47" ht="18" thickTop="1" thickBot="1">
      <c r="D29" s="65"/>
      <c r="F29" s="64"/>
      <c r="J29" s="65"/>
      <c r="L29" s="65"/>
      <c r="V29" s="65"/>
      <c r="AO29" t="s">
        <v>30</v>
      </c>
      <c r="AP29" s="13">
        <v>3113</v>
      </c>
      <c r="AQ29" s="13">
        <v>2192</v>
      </c>
      <c r="AR29" s="13">
        <v>921</v>
      </c>
      <c r="AS29" s="176"/>
    </row>
    <row r="30" spans="1:47" ht="17" thickTop="1">
      <c r="C30" s="65"/>
      <c r="D30" s="65"/>
      <c r="F30" s="65"/>
      <c r="H30" s="65"/>
      <c r="J30" s="65"/>
      <c r="L30" s="65"/>
      <c r="V30" s="65"/>
      <c r="AO30" t="s">
        <v>29</v>
      </c>
      <c r="AP30" s="36">
        <v>2249</v>
      </c>
      <c r="AQ30" s="36">
        <v>1572</v>
      </c>
      <c r="AR30" s="36">
        <v>677</v>
      </c>
      <c r="AS30" s="176"/>
    </row>
    <row r="31" spans="1:47">
      <c r="C31" t="s">
        <v>46</v>
      </c>
      <c r="O31" s="57"/>
      <c r="P31" s="56"/>
      <c r="Q31" s="57"/>
      <c r="R31" s="56"/>
      <c r="S31" s="57"/>
      <c r="T31" s="56"/>
      <c r="U31" s="57"/>
      <c r="V31" s="65"/>
      <c r="AO31" t="s">
        <v>20</v>
      </c>
      <c r="AP31" s="16">
        <v>2125</v>
      </c>
      <c r="AQ31" s="16">
        <v>1462</v>
      </c>
      <c r="AR31" s="16">
        <v>663</v>
      </c>
      <c r="AS31" s="176"/>
    </row>
    <row r="32" spans="1:47">
      <c r="C32" s="56"/>
      <c r="D32" s="70" t="s">
        <v>40</v>
      </c>
      <c r="E32" t="s">
        <v>9</v>
      </c>
      <c r="F32" t="s">
        <v>44</v>
      </c>
      <c r="G32" t="s">
        <v>41</v>
      </c>
      <c r="H32" t="s">
        <v>12</v>
      </c>
      <c r="I32" t="s">
        <v>45</v>
      </c>
      <c r="J32" t="s">
        <v>14</v>
      </c>
      <c r="K32" t="s">
        <v>42</v>
      </c>
      <c r="L32" s="56"/>
      <c r="M32" s="57"/>
      <c r="N32" s="56"/>
      <c r="O32" s="57"/>
      <c r="P32" s="56"/>
      <c r="Q32" s="57"/>
      <c r="R32" s="56"/>
      <c r="S32" s="57"/>
      <c r="T32" s="56"/>
      <c r="U32" s="57"/>
      <c r="W32" s="247" t="s">
        <v>10</v>
      </c>
      <c r="X32" s="248"/>
      <c r="Y32" s="247" t="s">
        <v>10</v>
      </c>
      <c r="Z32" s="248"/>
      <c r="AO32" t="s">
        <v>19</v>
      </c>
      <c r="AP32" s="104">
        <v>1503</v>
      </c>
      <c r="AQ32" s="84">
        <v>1011</v>
      </c>
      <c r="AR32" s="84">
        <v>492</v>
      </c>
      <c r="AS32" s="176"/>
    </row>
    <row r="33" spans="3:45" ht="30" thickBot="1">
      <c r="C33" t="s">
        <v>33</v>
      </c>
      <c r="D33" s="15">
        <v>0.3</v>
      </c>
      <c r="E33" s="15">
        <v>0.3</v>
      </c>
      <c r="F33" s="15">
        <v>27.5</v>
      </c>
      <c r="G33" s="15">
        <v>31</v>
      </c>
      <c r="H33" s="15">
        <v>55.9</v>
      </c>
      <c r="I33" s="15"/>
      <c r="J33" s="15"/>
      <c r="K33">
        <v>18.100000000000001</v>
      </c>
      <c r="L33" s="15"/>
      <c r="M33" s="15"/>
      <c r="N33" s="15"/>
      <c r="O33" s="15"/>
      <c r="P33" s="15"/>
      <c r="Q33" s="70"/>
      <c r="R33" s="70"/>
      <c r="S33" s="70"/>
      <c r="T33" s="70"/>
      <c r="U33" s="70"/>
      <c r="V33" t="s">
        <v>18</v>
      </c>
      <c r="W33" s="7" t="s">
        <v>15</v>
      </c>
      <c r="X33" s="6" t="s">
        <v>130</v>
      </c>
      <c r="Y33" s="7" t="s">
        <v>15</v>
      </c>
      <c r="Z33" s="6" t="s">
        <v>131</v>
      </c>
      <c r="AO33" t="s">
        <v>34</v>
      </c>
      <c r="AP33" s="54">
        <v>314</v>
      </c>
      <c r="AQ33" s="54">
        <v>204</v>
      </c>
      <c r="AR33" s="54">
        <v>110</v>
      </c>
      <c r="AS33" s="176"/>
    </row>
    <row r="34" spans="3:45" ht="17" thickBot="1">
      <c r="C34" t="s">
        <v>30</v>
      </c>
      <c r="D34" s="15">
        <v>0.32123353678124</v>
      </c>
      <c r="E34" s="15">
        <v>0.38548024413748799</v>
      </c>
      <c r="F34" s="15">
        <v>17.8927079987151</v>
      </c>
      <c r="G34" s="15">
        <v>44.555091551558</v>
      </c>
      <c r="H34" s="15">
        <v>33.825891423064597</v>
      </c>
      <c r="I34" s="15">
        <v>0</v>
      </c>
      <c r="J34" s="15">
        <v>3.0195952457436599</v>
      </c>
      <c r="K34" s="15">
        <v>27.4</v>
      </c>
      <c r="L34" s="15"/>
      <c r="M34" s="15"/>
      <c r="N34" s="15"/>
      <c r="O34" s="15"/>
      <c r="P34" s="57"/>
      <c r="V34" t="s">
        <v>33</v>
      </c>
      <c r="W34" s="82">
        <v>51</v>
      </c>
      <c r="X34" s="173">
        <v>0.31</v>
      </c>
      <c r="Y34">
        <v>3359</v>
      </c>
      <c r="Z34" s="173">
        <v>0.38300000000000001</v>
      </c>
    </row>
    <row r="35" spans="3:45">
      <c r="C35" t="s">
        <v>29</v>
      </c>
      <c r="D35" s="30">
        <v>0.5</v>
      </c>
      <c r="E35" s="30">
        <v>0.7</v>
      </c>
      <c r="F35" s="30">
        <v>8.6</v>
      </c>
      <c r="G35" s="30">
        <v>46.6</v>
      </c>
      <c r="H35" s="30">
        <v>39.299999999999997</v>
      </c>
      <c r="I35" s="30">
        <v>0</v>
      </c>
      <c r="J35" s="29">
        <v>4.2</v>
      </c>
      <c r="K35" s="33">
        <v>19.8</v>
      </c>
      <c r="L35" s="15"/>
      <c r="M35" s="15"/>
      <c r="N35" s="15"/>
      <c r="O35" s="15"/>
      <c r="P35" s="15"/>
      <c r="V35" t="s">
        <v>30</v>
      </c>
      <c r="W35" s="13">
        <v>65</v>
      </c>
      <c r="X35" s="173">
        <v>0.44600000000000001</v>
      </c>
      <c r="Y35" s="13">
        <v>4157</v>
      </c>
      <c r="Z35" s="173">
        <v>0.36299999999999999</v>
      </c>
    </row>
    <row r="36" spans="3:45">
      <c r="C36" t="s">
        <v>20</v>
      </c>
      <c r="D36" s="18">
        <v>0.18820000000000001</v>
      </c>
      <c r="E36" s="18">
        <v>0.70589999999999997</v>
      </c>
      <c r="F36" s="18">
        <v>16.7059</v>
      </c>
      <c r="G36" s="18">
        <v>46.4</v>
      </c>
      <c r="H36" s="18">
        <v>31.905899999999999</v>
      </c>
      <c r="I36" s="18">
        <v>4.7100000000000003E-2</v>
      </c>
      <c r="J36" s="22">
        <v>4.0471000000000004</v>
      </c>
      <c r="K36" s="23">
        <v>18.7</v>
      </c>
      <c r="M36" s="15"/>
      <c r="N36" s="15"/>
      <c r="O36" s="15"/>
      <c r="P36" s="15"/>
      <c r="Q36" s="15"/>
      <c r="V36" t="s">
        <v>29</v>
      </c>
      <c r="W36" s="31">
        <v>34</v>
      </c>
      <c r="X36" s="173">
        <v>0.46600000000000003</v>
      </c>
      <c r="Y36" s="31">
        <v>3829</v>
      </c>
      <c r="Z36" s="173">
        <v>0.316</v>
      </c>
    </row>
    <row r="37" spans="3:45">
      <c r="C37" t="s">
        <v>19</v>
      </c>
      <c r="D37" s="140" t="s">
        <v>35</v>
      </c>
      <c r="E37" s="140" t="s">
        <v>35</v>
      </c>
      <c r="F37" s="140" t="s">
        <v>35</v>
      </c>
      <c r="G37" s="140" t="s">
        <v>35</v>
      </c>
      <c r="H37" s="140" t="s">
        <v>35</v>
      </c>
      <c r="I37" s="140" t="s">
        <v>35</v>
      </c>
      <c r="J37" s="106" t="s">
        <v>35</v>
      </c>
      <c r="K37" s="23">
        <v>13.2</v>
      </c>
      <c r="M37" s="15"/>
      <c r="N37" s="15"/>
      <c r="O37" s="15"/>
      <c r="P37" s="15"/>
      <c r="Q37" s="15"/>
      <c r="V37" t="s">
        <v>20</v>
      </c>
      <c r="W37" s="19">
        <v>95</v>
      </c>
      <c r="X37" s="173">
        <v>0.46400000000000002</v>
      </c>
      <c r="Y37" s="19">
        <v>4575</v>
      </c>
      <c r="Z37" s="173">
        <v>0.35</v>
      </c>
    </row>
    <row r="38" spans="3:45">
      <c r="C38" t="s">
        <v>34</v>
      </c>
      <c r="D38" s="55">
        <v>0</v>
      </c>
      <c r="E38" s="55">
        <v>0.64</v>
      </c>
      <c r="F38" s="55">
        <v>9.5500000000000007</v>
      </c>
      <c r="G38" s="55">
        <v>15.29</v>
      </c>
      <c r="H38" s="55">
        <v>68.47</v>
      </c>
      <c r="I38" s="55">
        <v>0.32</v>
      </c>
      <c r="J38" s="55">
        <v>5.73</v>
      </c>
      <c r="K38" s="58">
        <v>2.8</v>
      </c>
      <c r="M38" s="15"/>
      <c r="N38" s="15"/>
      <c r="O38" s="15"/>
      <c r="P38" s="15"/>
      <c r="V38" t="s">
        <v>19</v>
      </c>
    </row>
    <row r="39" spans="3:45">
      <c r="M39" s="15"/>
      <c r="N39" s="15"/>
      <c r="O39" s="15"/>
      <c r="P39" s="15"/>
      <c r="V39" t="s">
        <v>34</v>
      </c>
      <c r="W39" s="110">
        <v>3</v>
      </c>
      <c r="X39" s="173">
        <v>0.15290000000000001</v>
      </c>
      <c r="Y39" s="54">
        <v>1104</v>
      </c>
      <c r="Z39" s="173">
        <v>0.26290000000000002</v>
      </c>
    </row>
    <row r="44" spans="3:45">
      <c r="E44" s="15"/>
      <c r="F44" s="15"/>
      <c r="G44" s="15"/>
      <c r="H44" s="15"/>
      <c r="I44" s="57"/>
    </row>
    <row r="45" spans="3:45">
      <c r="C45" t="s">
        <v>46</v>
      </c>
      <c r="E45" s="75"/>
      <c r="F45" s="75"/>
      <c r="G45" s="75"/>
      <c r="H45" s="75"/>
      <c r="I45" s="76"/>
      <c r="X45" s="173"/>
      <c r="Y45" s="65"/>
      <c r="Z45" s="188"/>
    </row>
    <row r="46" spans="3:45" ht="17" thickBot="1">
      <c r="C46" s="70"/>
      <c r="D46" s="70" t="s">
        <v>40</v>
      </c>
      <c r="E46" s="75" t="s">
        <v>9</v>
      </c>
      <c r="F46" s="75" t="s">
        <v>44</v>
      </c>
      <c r="G46" s="75" t="s">
        <v>41</v>
      </c>
      <c r="H46" s="75" t="s">
        <v>12</v>
      </c>
      <c r="I46" t="s">
        <v>45</v>
      </c>
      <c r="J46" t="s">
        <v>14</v>
      </c>
      <c r="K46" t="s">
        <v>42</v>
      </c>
      <c r="X46" s="173"/>
      <c r="Y46" s="65"/>
      <c r="Z46" s="173"/>
    </row>
    <row r="47" spans="3:45" ht="18" customHeight="1" thickBot="1">
      <c r="C47" t="s">
        <v>33</v>
      </c>
      <c r="D47" s="93">
        <v>0.3</v>
      </c>
      <c r="E47" s="94">
        <v>0.3</v>
      </c>
      <c r="F47" s="94">
        <v>0.3</v>
      </c>
      <c r="G47" s="94">
        <v>23.6</v>
      </c>
      <c r="H47" s="94">
        <v>26.6</v>
      </c>
      <c r="I47" s="94">
        <v>48</v>
      </c>
      <c r="J47" s="95"/>
      <c r="K47" s="96">
        <v>17.100000000000001</v>
      </c>
      <c r="W47" s="247" t="s">
        <v>11</v>
      </c>
      <c r="X47" s="248"/>
      <c r="Y47" s="65"/>
      <c r="Z47" s="173"/>
    </row>
    <row r="48" spans="3:45" ht="17" thickBot="1">
      <c r="C48" t="s">
        <v>30</v>
      </c>
      <c r="D48" s="97">
        <v>0.5</v>
      </c>
      <c r="E48" s="98">
        <v>0.3</v>
      </c>
      <c r="F48" s="98">
        <v>16.899999999999999</v>
      </c>
      <c r="G48" s="98">
        <v>43.6</v>
      </c>
      <c r="H48" s="98">
        <v>35.6</v>
      </c>
      <c r="I48" s="98">
        <v>0</v>
      </c>
      <c r="J48" s="98">
        <v>3.2</v>
      </c>
      <c r="K48" s="99">
        <v>26.4</v>
      </c>
      <c r="W48" s="7" t="s">
        <v>15</v>
      </c>
      <c r="X48" s="6" t="s">
        <v>16</v>
      </c>
      <c r="Y48" s="65"/>
      <c r="Z48" s="173"/>
    </row>
    <row r="49" spans="3:33" ht="17" thickBot="1">
      <c r="C49" t="s">
        <v>29</v>
      </c>
      <c r="D49" s="97">
        <v>0.4</v>
      </c>
      <c r="E49" s="98">
        <v>0.8</v>
      </c>
      <c r="F49" s="98">
        <v>8.6</v>
      </c>
      <c r="G49" s="98">
        <v>45.8</v>
      </c>
      <c r="H49" s="98">
        <v>40.1</v>
      </c>
      <c r="I49" s="98">
        <v>0</v>
      </c>
      <c r="J49" s="98">
        <v>4.3</v>
      </c>
      <c r="K49" s="99">
        <v>19.100000000000001</v>
      </c>
      <c r="W49" s="13">
        <v>170</v>
      </c>
      <c r="X49" s="15">
        <v>28.8</v>
      </c>
      <c r="Y49" s="173">
        <v>0.31</v>
      </c>
    </row>
    <row r="50" spans="3:33" ht="17" thickBot="1">
      <c r="C50" t="s">
        <v>20</v>
      </c>
      <c r="D50" s="97">
        <v>0.2</v>
      </c>
      <c r="E50" s="98">
        <v>0.7</v>
      </c>
      <c r="F50" s="98">
        <v>16.399999999999999</v>
      </c>
      <c r="G50" s="98">
        <v>46.3</v>
      </c>
      <c r="H50" s="98">
        <v>32.799999999999997</v>
      </c>
      <c r="I50" s="98">
        <v>0</v>
      </c>
      <c r="J50" s="98">
        <v>3.6</v>
      </c>
      <c r="K50" s="99">
        <v>20.2</v>
      </c>
      <c r="W50" s="14">
        <v>470</v>
      </c>
      <c r="X50" s="15">
        <v>15.0979762287183</v>
      </c>
      <c r="Y50" s="173">
        <v>0.44600000000000001</v>
      </c>
    </row>
    <row r="51" spans="3:33" ht="17" thickBot="1">
      <c r="C51" t="s">
        <v>19</v>
      </c>
      <c r="D51" s="97">
        <v>0.2</v>
      </c>
      <c r="E51" s="98">
        <v>0.8</v>
      </c>
      <c r="F51" s="98">
        <v>17.5</v>
      </c>
      <c r="G51" s="98">
        <v>42.4</v>
      </c>
      <c r="H51" s="98">
        <v>34.4</v>
      </c>
      <c r="I51" s="98">
        <v>0</v>
      </c>
      <c r="J51" s="98">
        <v>4.9000000000000004</v>
      </c>
      <c r="K51" s="99">
        <v>14.3</v>
      </c>
      <c r="W51" s="31">
        <v>355</v>
      </c>
      <c r="X51" s="30">
        <v>52.4</v>
      </c>
      <c r="Y51" s="173">
        <v>0.46600000000000003</v>
      </c>
    </row>
    <row r="52" spans="3:33" ht="17" thickBot="1">
      <c r="C52" t="s">
        <v>34</v>
      </c>
      <c r="D52" s="100">
        <v>0</v>
      </c>
      <c r="E52" s="99">
        <v>0.5</v>
      </c>
      <c r="F52" s="99">
        <v>8.1999999999999993</v>
      </c>
      <c r="G52" s="99">
        <v>14.4</v>
      </c>
      <c r="H52" s="99">
        <v>68.2</v>
      </c>
      <c r="I52" s="99">
        <v>0.2</v>
      </c>
      <c r="J52" s="99">
        <v>6.7</v>
      </c>
      <c r="K52" s="99">
        <v>2.9</v>
      </c>
      <c r="W52" s="19">
        <v>391</v>
      </c>
      <c r="X52" s="18">
        <v>58.974400000000003</v>
      </c>
      <c r="Y52" s="173">
        <v>0.46400000000000002</v>
      </c>
    </row>
    <row r="53" spans="3:33">
      <c r="R53" s="175"/>
      <c r="S53" s="175"/>
      <c r="T53" s="247"/>
      <c r="U53" s="248"/>
      <c r="W53" t="s">
        <v>35</v>
      </c>
      <c r="X53" s="109" t="s">
        <v>35</v>
      </c>
      <c r="Y53" t="s">
        <v>43</v>
      </c>
    </row>
    <row r="54" spans="3:33" ht="17" thickBot="1">
      <c r="R54" s="175"/>
      <c r="S54" s="175"/>
      <c r="T54" s="7"/>
      <c r="U54" s="6"/>
      <c r="W54" s="54">
        <v>19</v>
      </c>
      <c r="X54" s="55">
        <v>17.27</v>
      </c>
      <c r="Y54" s="173">
        <v>0.15290000000000001</v>
      </c>
    </row>
    <row r="55" spans="3:33" ht="16" customHeight="1">
      <c r="R55" s="175"/>
      <c r="S55" s="175"/>
      <c r="T55" s="14"/>
      <c r="U55" s="15"/>
      <c r="W55" s="247" t="s">
        <v>11</v>
      </c>
      <c r="X55" s="248"/>
      <c r="Y55" s="173">
        <v>0.38300000000000001</v>
      </c>
      <c r="AE55" s="247"/>
      <c r="AF55" s="248"/>
    </row>
    <row r="56" spans="3:33" ht="17" thickBot="1">
      <c r="R56" s="175"/>
      <c r="S56" s="175"/>
      <c r="T56" s="13"/>
      <c r="U56" s="48"/>
      <c r="W56" s="7" t="s">
        <v>15</v>
      </c>
      <c r="X56" s="6" t="s">
        <v>16</v>
      </c>
      <c r="Y56" s="173">
        <v>0.36299999999999999</v>
      </c>
      <c r="AA56" s="65"/>
      <c r="AB56" s="173"/>
      <c r="AC56" s="65"/>
      <c r="AE56" s="80"/>
      <c r="AF56" s="81"/>
    </row>
    <row r="57" spans="3:33" ht="17" thickBot="1">
      <c r="R57" s="175"/>
      <c r="S57" s="175"/>
      <c r="T57" s="13"/>
      <c r="U57" s="48"/>
      <c r="W57">
        <v>10639</v>
      </c>
      <c r="X57">
        <v>39.200000000000003</v>
      </c>
      <c r="Y57" s="173">
        <v>0.316</v>
      </c>
      <c r="AA57" s="65"/>
      <c r="AB57" s="173"/>
      <c r="AC57" s="65"/>
      <c r="AE57" s="82"/>
      <c r="AF57" s="107"/>
      <c r="AG57" s="175"/>
    </row>
    <row r="58" spans="3:33">
      <c r="C58" t="s">
        <v>42</v>
      </c>
      <c r="E58" t="s">
        <v>55</v>
      </c>
      <c r="G58" t="s">
        <v>56</v>
      </c>
      <c r="R58" s="175"/>
      <c r="S58" s="175"/>
      <c r="T58" s="13"/>
      <c r="U58" s="48"/>
      <c r="W58" s="14">
        <v>9952</v>
      </c>
      <c r="X58" s="15">
        <v>11.310890368922299</v>
      </c>
      <c r="Y58" s="173">
        <v>0.35</v>
      </c>
      <c r="AA58" s="65"/>
      <c r="AB58" s="173"/>
      <c r="AC58" s="65"/>
      <c r="AE58" s="13"/>
      <c r="AF58" s="15"/>
      <c r="AG58" s="175"/>
    </row>
    <row r="59" spans="3:33">
      <c r="C59" s="41">
        <v>2400</v>
      </c>
      <c r="E59" s="13">
        <v>1843</v>
      </c>
      <c r="G59" s="13">
        <v>678</v>
      </c>
      <c r="R59" s="175"/>
      <c r="S59" s="175"/>
      <c r="T59" s="13"/>
      <c r="U59" s="48"/>
      <c r="W59" s="31">
        <v>8436</v>
      </c>
      <c r="X59" s="33">
        <v>35.9</v>
      </c>
      <c r="Y59" t="s">
        <v>43</v>
      </c>
      <c r="AA59" s="65"/>
      <c r="AB59" s="173"/>
      <c r="AE59" s="31"/>
      <c r="AF59" s="33"/>
      <c r="AG59" s="175"/>
    </row>
    <row r="60" spans="3:33">
      <c r="C60" s="79">
        <v>3712</v>
      </c>
      <c r="E60" s="79">
        <v>2662</v>
      </c>
      <c r="G60" s="79">
        <v>1050</v>
      </c>
      <c r="R60" s="175"/>
      <c r="S60" s="175"/>
      <c r="W60" s="19">
        <v>8775</v>
      </c>
      <c r="X60" s="23">
        <v>39.471899999999998</v>
      </c>
      <c r="Y60" s="173">
        <v>0.26290000000000002</v>
      </c>
      <c r="AA60" s="65"/>
      <c r="AB60" s="173"/>
      <c r="AC60" s="65"/>
      <c r="AE60" s="19"/>
      <c r="AF60" s="18"/>
      <c r="AG60" s="175"/>
    </row>
    <row r="61" spans="3:33">
      <c r="C61" s="27">
        <v>2682</v>
      </c>
      <c r="E61" s="27">
        <v>1898</v>
      </c>
      <c r="G61" s="27">
        <v>784</v>
      </c>
      <c r="R61" s="175"/>
      <c r="S61" s="175"/>
      <c r="T61" s="247"/>
      <c r="U61" s="248"/>
      <c r="W61" t="s">
        <v>35</v>
      </c>
      <c r="X61" s="109" t="s">
        <v>35</v>
      </c>
      <c r="Z61" s="173"/>
      <c r="AA61" s="65"/>
      <c r="AB61" s="173"/>
      <c r="AF61" s="109"/>
      <c r="AG61" s="175"/>
    </row>
    <row r="62" spans="3:33" ht="17" thickBot="1">
      <c r="C62" s="16">
        <v>2833</v>
      </c>
      <c r="E62" s="16">
        <v>2017</v>
      </c>
      <c r="G62" s="16">
        <v>816</v>
      </c>
      <c r="R62" s="175"/>
      <c r="S62" s="175"/>
      <c r="T62" s="7"/>
      <c r="U62" s="6"/>
      <c r="W62" s="54">
        <v>1971</v>
      </c>
      <c r="X62" s="134">
        <v>8.7200000000000006</v>
      </c>
      <c r="AE62" s="110"/>
      <c r="AF62" s="108"/>
      <c r="AG62" s="175"/>
    </row>
    <row r="63" spans="3:33">
      <c r="C63" s="121">
        <v>2009</v>
      </c>
      <c r="E63" s="24">
        <v>1410</v>
      </c>
      <c r="G63" s="24">
        <v>599</v>
      </c>
      <c r="R63" s="175"/>
      <c r="S63" s="175"/>
      <c r="T63" s="56"/>
      <c r="X63" s="109"/>
      <c r="AE63" s="247"/>
      <c r="AF63" s="248"/>
      <c r="AG63" s="175"/>
    </row>
    <row r="64" spans="3:33" ht="17" thickBot="1">
      <c r="C64">
        <v>402</v>
      </c>
      <c r="E64">
        <v>278</v>
      </c>
      <c r="G64">
        <v>124</v>
      </c>
      <c r="R64" s="175"/>
      <c r="S64" s="175"/>
      <c r="T64" s="13"/>
      <c r="U64" s="15"/>
      <c r="W64" s="175"/>
      <c r="X64" s="175"/>
      <c r="AE64" s="7"/>
      <c r="AF64" s="6"/>
      <c r="AG64" s="175"/>
    </row>
    <row r="65" spans="3:33">
      <c r="T65" s="13"/>
      <c r="U65" s="15"/>
      <c r="W65" s="175"/>
      <c r="X65" s="175"/>
      <c r="Y65" s="65"/>
      <c r="AE65" s="65"/>
      <c r="AF65" s="168"/>
      <c r="AG65" s="175"/>
    </row>
    <row r="66" spans="3:33">
      <c r="T66" s="13"/>
      <c r="U66" s="48"/>
      <c r="W66" s="175"/>
      <c r="X66" s="175"/>
      <c r="Y66" s="65"/>
      <c r="AE66" s="13"/>
      <c r="AF66" s="15"/>
    </row>
    <row r="67" spans="3:33">
      <c r="C67" t="s">
        <v>18</v>
      </c>
      <c r="D67" t="s">
        <v>42</v>
      </c>
      <c r="E67" t="s">
        <v>55</v>
      </c>
      <c r="F67" t="s">
        <v>56</v>
      </c>
      <c r="T67" s="13"/>
      <c r="U67" s="48"/>
      <c r="W67" s="175"/>
      <c r="X67" s="175"/>
      <c r="Y67" s="65"/>
      <c r="AE67" s="31"/>
      <c r="AF67" s="33"/>
    </row>
    <row r="68" spans="3:33">
      <c r="C68" t="s">
        <v>33</v>
      </c>
      <c r="D68" s="173">
        <v>0.18099999999999999</v>
      </c>
      <c r="E68" s="173">
        <v>0.71299999999999997</v>
      </c>
      <c r="F68" s="173">
        <v>0.28599999999999998</v>
      </c>
      <c r="U68" s="109"/>
      <c r="W68" s="175"/>
      <c r="X68" s="175"/>
      <c r="AE68" s="20"/>
      <c r="AF68" s="23"/>
    </row>
    <row r="69" spans="3:33">
      <c r="C69" t="s">
        <v>30</v>
      </c>
      <c r="D69" s="173">
        <v>0.27400000000000002</v>
      </c>
      <c r="E69" s="173">
        <v>0.70399999999999996</v>
      </c>
      <c r="F69" s="173">
        <v>0.29599999999999999</v>
      </c>
      <c r="W69" s="175"/>
      <c r="X69" s="175"/>
      <c r="Y69" s="65"/>
      <c r="AF69" s="109"/>
    </row>
    <row r="70" spans="3:33">
      <c r="C70" t="s">
        <v>29</v>
      </c>
      <c r="D70" s="173">
        <v>0.19800000000000001</v>
      </c>
      <c r="E70" s="173">
        <v>0.69899999999999995</v>
      </c>
      <c r="F70" s="173">
        <v>0.30099999999999999</v>
      </c>
      <c r="W70" s="175"/>
      <c r="X70" s="175"/>
      <c r="AE70" s="54"/>
      <c r="AF70" s="134"/>
    </row>
    <row r="71" spans="3:33">
      <c r="C71" t="s">
        <v>20</v>
      </c>
      <c r="D71" s="173">
        <v>0.187</v>
      </c>
      <c r="E71" s="173">
        <v>0.68799999999999994</v>
      </c>
      <c r="F71" s="173">
        <v>0.312</v>
      </c>
      <c r="W71" s="175"/>
      <c r="X71" s="175"/>
    </row>
    <row r="72" spans="3:33">
      <c r="C72" t="s">
        <v>19</v>
      </c>
      <c r="D72" s="173">
        <v>0.13200000000000001</v>
      </c>
      <c r="E72" s="173">
        <v>0.67300000000000004</v>
      </c>
      <c r="F72" s="173">
        <v>0.32700000000000001</v>
      </c>
      <c r="W72" s="175"/>
      <c r="X72" s="175"/>
    </row>
    <row r="73" spans="3:33">
      <c r="C73" t="s">
        <v>34</v>
      </c>
      <c r="D73" s="173">
        <v>2.8000000000000001E-2</v>
      </c>
      <c r="E73" s="173">
        <v>0.65</v>
      </c>
      <c r="F73" s="173">
        <v>0.35</v>
      </c>
      <c r="I73" s="173"/>
      <c r="J73" s="174"/>
      <c r="W73" s="175"/>
      <c r="X73" s="175"/>
    </row>
    <row r="74" spans="3:33">
      <c r="D74" s="175"/>
      <c r="I74" s="65"/>
      <c r="J74" s="173"/>
      <c r="W74" s="175"/>
      <c r="X74" s="175"/>
    </row>
    <row r="75" spans="3:33">
      <c r="C75" t="s">
        <v>18</v>
      </c>
      <c r="D75" t="s">
        <v>42</v>
      </c>
      <c r="E75" t="s">
        <v>55</v>
      </c>
      <c r="F75" t="s">
        <v>56</v>
      </c>
      <c r="I75" s="65"/>
      <c r="J75" s="173"/>
    </row>
    <row r="76" spans="3:33">
      <c r="C76" t="s">
        <v>33</v>
      </c>
      <c r="D76" s="173">
        <v>0.17100000000000001</v>
      </c>
      <c r="E76" s="173">
        <v>0.76700000000000002</v>
      </c>
      <c r="F76" s="173">
        <v>0.28299999999999997</v>
      </c>
      <c r="I76" s="65"/>
      <c r="J76" s="173"/>
      <c r="Q76" s="65"/>
      <c r="R76" s="188"/>
    </row>
    <row r="77" spans="3:33">
      <c r="C77" t="s">
        <v>30</v>
      </c>
      <c r="D77" s="173">
        <v>0.26400000000000001</v>
      </c>
      <c r="E77" s="173">
        <v>0.71699999999999997</v>
      </c>
      <c r="F77" s="173">
        <v>0.28299999999999997</v>
      </c>
      <c r="I77" s="65"/>
      <c r="J77" s="173"/>
      <c r="Q77" s="173"/>
      <c r="R77" s="65"/>
      <c r="S77" s="173"/>
    </row>
    <row r="78" spans="3:33">
      <c r="C78" t="s">
        <v>29</v>
      </c>
      <c r="D78" s="173">
        <v>0.191</v>
      </c>
      <c r="E78" s="173">
        <v>0.70799999999999996</v>
      </c>
      <c r="F78" s="173">
        <v>0.29199999999999998</v>
      </c>
      <c r="J78" s="173"/>
      <c r="Q78" s="173"/>
      <c r="R78" s="65"/>
      <c r="S78" s="173"/>
    </row>
    <row r="79" spans="3:33">
      <c r="C79" t="s">
        <v>20</v>
      </c>
      <c r="D79" s="173">
        <v>0.20200000000000001</v>
      </c>
      <c r="E79" s="173">
        <v>0.71299999999999997</v>
      </c>
      <c r="F79" s="173">
        <v>0.28699999999999998</v>
      </c>
      <c r="Q79" s="173"/>
      <c r="R79" s="65"/>
      <c r="S79" s="173"/>
    </row>
    <row r="80" spans="3:33">
      <c r="C80" t="s">
        <v>19</v>
      </c>
      <c r="D80" s="173">
        <v>0.14299999999999999</v>
      </c>
      <c r="E80" s="173">
        <v>0.70199999999999996</v>
      </c>
      <c r="F80" s="173">
        <v>0.29799999999999999</v>
      </c>
    </row>
    <row r="81" spans="2:20">
      <c r="C81" t="s">
        <v>34</v>
      </c>
      <c r="D81" s="173">
        <v>2.9000000000000001E-2</v>
      </c>
      <c r="E81" s="173">
        <v>0.69199999999999995</v>
      </c>
      <c r="F81" s="173">
        <v>0.308</v>
      </c>
      <c r="Q81" s="173"/>
      <c r="R81" s="65"/>
      <c r="S81" s="173"/>
    </row>
    <row r="84" spans="2:20" ht="17" customHeight="1" thickBot="1"/>
    <row r="85" spans="2:20" ht="56" customHeight="1">
      <c r="B85" t="s">
        <v>18</v>
      </c>
      <c r="C85" s="71" t="s">
        <v>77</v>
      </c>
      <c r="D85" s="71" t="s">
        <v>82</v>
      </c>
      <c r="E85" s="177" t="s">
        <v>83</v>
      </c>
      <c r="Q85" t="s">
        <v>18</v>
      </c>
      <c r="R85" t="s">
        <v>59</v>
      </c>
      <c r="S85" s="177" t="s">
        <v>78</v>
      </c>
      <c r="T85" s="177" t="s">
        <v>79</v>
      </c>
    </row>
    <row r="86" spans="2:20">
      <c r="B86" t="s">
        <v>33</v>
      </c>
      <c r="C86" s="184">
        <v>2.1000000000000001E-2</v>
      </c>
      <c r="D86" s="184">
        <v>1.7999999999999999E-2</v>
      </c>
      <c r="E86" s="184">
        <v>2.1999999999999999E-2</v>
      </c>
      <c r="Q86" t="s">
        <v>33</v>
      </c>
      <c r="R86" s="173">
        <v>1.9E-2</v>
      </c>
      <c r="S86" s="178">
        <v>0.02</v>
      </c>
      <c r="T86" s="178">
        <v>0.02</v>
      </c>
    </row>
    <row r="87" spans="2:20">
      <c r="B87" t="s">
        <v>30</v>
      </c>
      <c r="C87" s="184">
        <v>3.7999999999999999E-2</v>
      </c>
      <c r="D87" s="184">
        <v>3.1E-2</v>
      </c>
      <c r="E87" s="184">
        <v>3.9E-2</v>
      </c>
      <c r="Q87" t="s">
        <v>30</v>
      </c>
      <c r="R87" s="173">
        <v>3.3000000000000002E-2</v>
      </c>
      <c r="S87" s="178">
        <v>2.5999999999999999E-2</v>
      </c>
      <c r="T87" s="178">
        <v>3.5000000000000003E-2</v>
      </c>
    </row>
    <row r="88" spans="2:20">
      <c r="B88" t="s">
        <v>29</v>
      </c>
      <c r="C88" s="184">
        <v>2.8000000000000001E-2</v>
      </c>
      <c r="D88" s="184">
        <v>2.1999999999999999E-2</v>
      </c>
      <c r="E88" s="184">
        <v>2.9000000000000001E-2</v>
      </c>
      <c r="N88" s="65"/>
      <c r="O88" s="65"/>
      <c r="P88" s="178"/>
      <c r="Q88" t="s">
        <v>29</v>
      </c>
      <c r="R88" s="173">
        <v>2.4E-2</v>
      </c>
      <c r="S88" s="178">
        <v>1.6E-2</v>
      </c>
      <c r="T88" s="178">
        <v>2.7E-2</v>
      </c>
    </row>
    <row r="89" spans="2:20">
      <c r="B89" t="s">
        <v>20</v>
      </c>
      <c r="C89" s="184">
        <v>0.03</v>
      </c>
      <c r="D89" s="184">
        <v>3.1E-2</v>
      </c>
      <c r="E89" s="184">
        <v>0.03</v>
      </c>
      <c r="N89" s="65"/>
      <c r="O89" s="65"/>
      <c r="P89" s="178"/>
      <c r="Q89" t="s">
        <v>20</v>
      </c>
      <c r="R89" s="173">
        <v>2.8000000000000001E-2</v>
      </c>
      <c r="S89" s="178">
        <v>2.8000000000000001E-2</v>
      </c>
      <c r="T89" s="178">
        <v>2.8000000000000001E-2</v>
      </c>
    </row>
    <row r="90" spans="2:20">
      <c r="B90" t="s">
        <v>19</v>
      </c>
      <c r="C90" s="184">
        <v>2.1999999999999999E-2</v>
      </c>
      <c r="D90" s="184">
        <v>2.1000000000000001E-2</v>
      </c>
      <c r="E90" s="184">
        <v>2.1999999999999999E-2</v>
      </c>
      <c r="N90" s="65"/>
      <c r="O90" s="65"/>
      <c r="P90" s="178"/>
      <c r="Q90" t="s">
        <v>19</v>
      </c>
      <c r="R90" s="173">
        <v>0.02</v>
      </c>
      <c r="S90" s="178">
        <v>0.02</v>
      </c>
      <c r="T90" s="178">
        <v>0.02</v>
      </c>
    </row>
    <row r="91" spans="2:20">
      <c r="B91" t="s">
        <v>34</v>
      </c>
      <c r="C91" s="184">
        <v>1.4E-2</v>
      </c>
      <c r="D91" s="184">
        <v>0.01</v>
      </c>
      <c r="E91" s="184">
        <v>1.4999999999999999E-2</v>
      </c>
      <c r="N91" s="65"/>
      <c r="O91" s="65"/>
      <c r="P91" s="178"/>
      <c r="Q91" t="s">
        <v>34</v>
      </c>
      <c r="R91" s="173">
        <v>1.4E-2</v>
      </c>
      <c r="S91" s="178">
        <v>1.2E-2</v>
      </c>
      <c r="T91" s="178">
        <v>1.4E-2</v>
      </c>
    </row>
    <row r="92" spans="2:20">
      <c r="N92" s="65"/>
      <c r="O92" s="65"/>
      <c r="P92" s="178"/>
    </row>
    <row r="93" spans="2:20">
      <c r="O93" s="65"/>
      <c r="P93" s="178"/>
    </row>
    <row r="95" spans="2:20">
      <c r="B95" t="s">
        <v>18</v>
      </c>
      <c r="C95" t="s">
        <v>57</v>
      </c>
      <c r="D95" t="s">
        <v>58</v>
      </c>
      <c r="E95" t="s">
        <v>59</v>
      </c>
    </row>
    <row r="96" spans="2:20">
      <c r="B96" t="s">
        <v>33</v>
      </c>
      <c r="C96">
        <v>2400</v>
      </c>
      <c r="D96">
        <v>125342</v>
      </c>
      <c r="E96" s="173">
        <v>1.9E-2</v>
      </c>
    </row>
    <row r="97" spans="1:20">
      <c r="B97" t="s">
        <v>30</v>
      </c>
      <c r="C97">
        <v>3712</v>
      </c>
      <c r="D97">
        <v>111018</v>
      </c>
      <c r="E97" s="173">
        <v>3.3000000000000002E-2</v>
      </c>
    </row>
    <row r="98" spans="1:20">
      <c r="B98" t="s">
        <v>29</v>
      </c>
      <c r="C98">
        <v>2682</v>
      </c>
      <c r="D98">
        <v>111215</v>
      </c>
      <c r="E98" s="173">
        <v>2.4E-2</v>
      </c>
    </row>
    <row r="99" spans="1:20">
      <c r="B99" t="s">
        <v>20</v>
      </c>
      <c r="C99">
        <v>2833</v>
      </c>
      <c r="D99">
        <v>101161</v>
      </c>
      <c r="E99" s="173">
        <v>2.8000000000000001E-2</v>
      </c>
    </row>
    <row r="100" spans="1:20">
      <c r="B100" t="s">
        <v>19</v>
      </c>
      <c r="C100">
        <v>2009</v>
      </c>
      <c r="D100">
        <v>101652</v>
      </c>
      <c r="E100" s="173">
        <v>0.02</v>
      </c>
    </row>
    <row r="101" spans="1:20">
      <c r="B101" t="s">
        <v>34</v>
      </c>
      <c r="C101">
        <v>402</v>
      </c>
      <c r="D101">
        <v>29666</v>
      </c>
      <c r="E101" s="173">
        <v>1.4E-2</v>
      </c>
    </row>
    <row r="104" spans="1:20">
      <c r="A104" t="s">
        <v>18</v>
      </c>
      <c r="B104" t="s">
        <v>59</v>
      </c>
      <c r="C104" s="177" t="s">
        <v>76</v>
      </c>
      <c r="D104" s="177" t="s">
        <v>77</v>
      </c>
      <c r="M104" s="179"/>
      <c r="N104" s="179"/>
      <c r="O104" s="177"/>
      <c r="R104" s="179"/>
      <c r="S104" s="179"/>
      <c r="T104" s="177"/>
    </row>
    <row r="105" spans="1:20">
      <c r="A105" t="s">
        <v>33</v>
      </c>
      <c r="B105" s="178">
        <v>0.02</v>
      </c>
      <c r="C105" s="178">
        <v>1.9E-2</v>
      </c>
      <c r="D105" s="178">
        <v>2.1999999999999999E-2</v>
      </c>
      <c r="J105" s="173"/>
      <c r="M105" s="13"/>
      <c r="N105" s="65"/>
      <c r="O105" s="178"/>
      <c r="R105" s="13"/>
      <c r="S105" s="65"/>
      <c r="T105" s="178"/>
    </row>
    <row r="106" spans="1:20">
      <c r="A106" t="s">
        <v>30</v>
      </c>
      <c r="B106" s="178">
        <v>3.5000000000000003E-2</v>
      </c>
      <c r="C106" s="178">
        <v>3.4000000000000002E-2</v>
      </c>
      <c r="D106" s="178">
        <v>3.9E-2</v>
      </c>
      <c r="J106" s="173"/>
      <c r="M106" s="13"/>
      <c r="N106" s="13"/>
      <c r="O106" s="178"/>
      <c r="R106" s="13"/>
      <c r="S106" s="13"/>
      <c r="T106" s="178"/>
    </row>
    <row r="107" spans="1:20">
      <c r="A107" t="s">
        <v>29</v>
      </c>
      <c r="B107" s="178">
        <v>2.7E-2</v>
      </c>
      <c r="C107" s="178">
        <v>2.5999999999999999E-2</v>
      </c>
      <c r="D107" s="178">
        <v>2.9000000000000001E-2</v>
      </c>
      <c r="J107" s="173"/>
      <c r="M107" s="13"/>
      <c r="N107" s="13"/>
      <c r="O107" s="178"/>
      <c r="R107" s="13"/>
      <c r="S107" s="13"/>
      <c r="T107" s="178"/>
    </row>
    <row r="108" spans="1:20">
      <c r="A108" t="s">
        <v>20</v>
      </c>
      <c r="B108" s="178">
        <v>2.8000000000000001E-2</v>
      </c>
      <c r="C108" s="178">
        <v>2.7E-2</v>
      </c>
      <c r="D108" s="178">
        <v>0.03</v>
      </c>
      <c r="J108" s="173"/>
      <c r="M108" s="13"/>
      <c r="N108" s="13"/>
      <c r="O108" s="178"/>
      <c r="R108" s="13"/>
      <c r="S108" s="13"/>
      <c r="T108" s="178"/>
    </row>
    <row r="109" spans="1:20">
      <c r="A109" t="s">
        <v>19</v>
      </c>
      <c r="B109" s="178">
        <v>0.02</v>
      </c>
      <c r="C109" s="178">
        <v>1.9E-2</v>
      </c>
      <c r="D109" s="178">
        <v>2.1999999999999999E-2</v>
      </c>
      <c r="J109" s="173"/>
      <c r="M109" s="13"/>
      <c r="N109" s="13"/>
      <c r="O109" s="178"/>
      <c r="R109" s="13"/>
      <c r="S109" s="13"/>
      <c r="T109" s="178"/>
    </row>
    <row r="110" spans="1:20">
      <c r="A110" t="s">
        <v>34</v>
      </c>
      <c r="B110" s="178">
        <v>1.4E-2</v>
      </c>
      <c r="C110" s="178">
        <v>1.2999999999999999E-2</v>
      </c>
      <c r="D110" s="178">
        <v>1.4999999999999999E-2</v>
      </c>
      <c r="J110" s="173"/>
      <c r="O110" s="178"/>
      <c r="T110" s="178"/>
    </row>
    <row r="112" spans="1:20">
      <c r="A112" t="s">
        <v>18</v>
      </c>
      <c r="B112" s="13" t="s">
        <v>59</v>
      </c>
      <c r="C112" s="13" t="s">
        <v>76</v>
      </c>
      <c r="D112" s="178" t="s">
        <v>77</v>
      </c>
    </row>
    <row r="113" spans="1:21">
      <c r="A113" t="s">
        <v>33</v>
      </c>
      <c r="B113" s="173">
        <v>1.9E-2</v>
      </c>
      <c r="C113" s="173">
        <v>0.02</v>
      </c>
      <c r="D113" s="178">
        <v>2.1000000000000001E-2</v>
      </c>
      <c r="H113" s="179"/>
      <c r="I113" s="179"/>
      <c r="J113" s="177"/>
      <c r="M113" s="179"/>
      <c r="N113" s="179"/>
      <c r="O113" s="177"/>
      <c r="R113" s="179"/>
      <c r="S113" s="179"/>
      <c r="T113" s="177"/>
    </row>
    <row r="114" spans="1:21">
      <c r="A114" t="s">
        <v>30</v>
      </c>
      <c r="B114" s="181">
        <v>3.3000000000000002E-2</v>
      </c>
      <c r="C114" s="181">
        <v>3.2000000000000001E-2</v>
      </c>
      <c r="D114" s="178">
        <v>3.7999999999999999E-2</v>
      </c>
      <c r="H114" s="13"/>
      <c r="I114" s="65"/>
      <c r="J114" s="178"/>
      <c r="O114" s="178"/>
      <c r="R114" s="13"/>
      <c r="S114" s="65"/>
      <c r="T114" s="178"/>
    </row>
    <row r="115" spans="1:21">
      <c r="A115" t="s">
        <v>29</v>
      </c>
      <c r="B115" s="173">
        <v>2.4E-2</v>
      </c>
      <c r="C115" s="173">
        <v>2.3E-2</v>
      </c>
      <c r="D115" s="173">
        <v>2.8000000000000001E-2</v>
      </c>
      <c r="H115" s="13"/>
      <c r="I115" s="13"/>
      <c r="J115" s="178"/>
      <c r="M115" s="13"/>
      <c r="N115" s="13"/>
      <c r="O115" s="178"/>
      <c r="R115" s="13"/>
      <c r="S115" s="13"/>
      <c r="T115" s="178"/>
    </row>
    <row r="116" spans="1:21">
      <c r="A116" t="s">
        <v>20</v>
      </c>
      <c r="B116" s="173">
        <v>2.8000000000000001E-2</v>
      </c>
      <c r="C116" s="173">
        <v>2.7E-2</v>
      </c>
      <c r="D116" s="173">
        <v>0.03</v>
      </c>
      <c r="H116" s="13"/>
      <c r="I116" s="13"/>
      <c r="J116" s="178"/>
      <c r="M116" s="13"/>
      <c r="N116" s="13"/>
      <c r="O116" s="178"/>
      <c r="R116" s="13"/>
      <c r="S116" s="13"/>
      <c r="T116" s="178"/>
    </row>
    <row r="117" spans="1:21">
      <c r="A117" t="s">
        <v>19</v>
      </c>
      <c r="B117" s="182">
        <v>0.02</v>
      </c>
      <c r="C117" s="182">
        <v>1.9E-2</v>
      </c>
      <c r="D117" s="178">
        <v>2.1999999999999999E-2</v>
      </c>
      <c r="M117" s="13"/>
      <c r="N117" s="13"/>
      <c r="O117" s="178"/>
      <c r="R117" s="13"/>
      <c r="S117" s="13"/>
      <c r="T117" s="178"/>
    </row>
    <row r="118" spans="1:21">
      <c r="A118" t="s">
        <v>34</v>
      </c>
      <c r="B118" s="183">
        <v>1.4E-2</v>
      </c>
      <c r="C118" s="173">
        <v>1.2999999999999999E-2</v>
      </c>
      <c r="D118" s="178">
        <v>1.4E-2</v>
      </c>
      <c r="O118" s="178"/>
      <c r="T118" s="178"/>
    </row>
    <row r="119" spans="1:21">
      <c r="B119" s="178"/>
      <c r="C119" s="178"/>
      <c r="D119" s="178"/>
      <c r="M119" s="56"/>
      <c r="N119" s="56"/>
      <c r="O119" s="178"/>
      <c r="R119" s="56"/>
      <c r="S119" s="56"/>
      <c r="T119" s="178"/>
    </row>
    <row r="122" spans="1:21">
      <c r="M122" s="179"/>
      <c r="N122" s="179"/>
      <c r="O122" s="177"/>
      <c r="R122" s="179"/>
      <c r="S122" s="179"/>
      <c r="T122" s="177"/>
    </row>
    <row r="123" spans="1:21">
      <c r="M123" s="13"/>
      <c r="N123" s="65"/>
      <c r="O123" s="178"/>
      <c r="R123" s="13"/>
      <c r="T123" s="178"/>
    </row>
    <row r="124" spans="1:21">
      <c r="H124" s="13"/>
      <c r="I124" s="13"/>
      <c r="J124" s="178"/>
      <c r="M124" s="13"/>
      <c r="N124" s="13"/>
      <c r="O124" s="178"/>
      <c r="R124" s="13"/>
      <c r="S124" s="13"/>
      <c r="T124" s="178"/>
    </row>
    <row r="125" spans="1:21">
      <c r="H125" s="180"/>
      <c r="I125" s="180"/>
      <c r="J125" s="178"/>
      <c r="M125" s="180"/>
      <c r="N125" s="180"/>
      <c r="O125" s="178"/>
      <c r="R125" s="180"/>
      <c r="S125" s="180"/>
      <c r="T125" s="178"/>
    </row>
    <row r="126" spans="1:21">
      <c r="H126" s="13"/>
      <c r="I126" s="13"/>
      <c r="J126" s="178"/>
      <c r="M126" s="13"/>
      <c r="N126" s="13"/>
      <c r="O126" s="178"/>
      <c r="R126" s="13"/>
      <c r="S126" s="13"/>
      <c r="T126" s="178"/>
    </row>
    <row r="127" spans="1:21">
      <c r="J127" s="178"/>
      <c r="O127" s="178"/>
      <c r="T127" s="178"/>
    </row>
    <row r="128" spans="1:21" ht="68">
      <c r="B128" s="177" t="s">
        <v>18</v>
      </c>
      <c r="C128" s="185" t="s">
        <v>57</v>
      </c>
      <c r="D128" s="185" t="s">
        <v>58</v>
      </c>
      <c r="M128" s="56"/>
      <c r="N128" s="56"/>
      <c r="O128" s="178"/>
      <c r="R128" s="56"/>
      <c r="S128" s="56"/>
      <c r="T128" s="177" t="s">
        <v>84</v>
      </c>
      <c r="U128" s="177" t="s">
        <v>85</v>
      </c>
    </row>
    <row r="129" spans="2:21">
      <c r="B129" t="s">
        <v>33</v>
      </c>
      <c r="C129">
        <v>2400</v>
      </c>
      <c r="D129">
        <v>125342</v>
      </c>
      <c r="T129" s="175">
        <v>0.12</v>
      </c>
      <c r="U129" s="175">
        <v>0.216</v>
      </c>
    </row>
    <row r="130" spans="2:21">
      <c r="B130" t="s">
        <v>30</v>
      </c>
      <c r="C130">
        <v>3712</v>
      </c>
      <c r="D130">
        <v>111018</v>
      </c>
      <c r="T130" s="175">
        <v>0.185</v>
      </c>
      <c r="U130" s="175">
        <v>0.191</v>
      </c>
    </row>
    <row r="131" spans="2:21">
      <c r="B131" t="s">
        <v>29</v>
      </c>
      <c r="C131">
        <v>2682</v>
      </c>
      <c r="D131">
        <v>111215</v>
      </c>
      <c r="T131" s="175">
        <v>0.13400000000000001</v>
      </c>
      <c r="U131" s="175">
        <v>0.192</v>
      </c>
    </row>
    <row r="132" spans="2:21">
      <c r="B132" t="s">
        <v>20</v>
      </c>
      <c r="C132">
        <v>2833</v>
      </c>
      <c r="D132">
        <v>101161</v>
      </c>
      <c r="T132" s="175">
        <v>0.14099999999999999</v>
      </c>
      <c r="U132" s="175">
        <v>0.17399999999999999</v>
      </c>
    </row>
    <row r="133" spans="2:21">
      <c r="B133" t="s">
        <v>19</v>
      </c>
      <c r="C133">
        <v>2009</v>
      </c>
      <c r="D133">
        <v>101652</v>
      </c>
      <c r="T133" s="175">
        <v>0.1</v>
      </c>
      <c r="U133" s="175">
        <v>0.17499999999999999</v>
      </c>
    </row>
    <row r="134" spans="2:21">
      <c r="B134" t="s">
        <v>34</v>
      </c>
      <c r="C134">
        <v>402</v>
      </c>
      <c r="D134">
        <v>29666</v>
      </c>
      <c r="T134" s="175">
        <v>0.02</v>
      </c>
      <c r="U134" s="175">
        <v>5.0999999999999997E-2</v>
      </c>
    </row>
    <row r="135" spans="2:21">
      <c r="F135" s="175"/>
    </row>
    <row r="146" spans="1:13" ht="17" thickBot="1"/>
    <row r="147" spans="1:13">
      <c r="B147" s="243" t="s">
        <v>37</v>
      </c>
      <c r="C147" s="244"/>
      <c r="D147" s="243" t="s">
        <v>37</v>
      </c>
      <c r="E147" s="244"/>
      <c r="F147" s="243" t="s">
        <v>37</v>
      </c>
      <c r="G147" s="249"/>
      <c r="H147" s="251"/>
      <c r="I147" s="251"/>
      <c r="L147" s="251"/>
      <c r="M147" s="251"/>
    </row>
    <row r="148" spans="1:13">
      <c r="B148" s="245"/>
      <c r="C148" s="246"/>
      <c r="D148" s="245"/>
      <c r="E148" s="246"/>
      <c r="F148" s="245"/>
      <c r="G148" s="250"/>
      <c r="H148" s="251"/>
      <c r="I148" s="251"/>
      <c r="L148" s="251"/>
      <c r="M148" s="251"/>
    </row>
    <row r="149" spans="1:13" ht="17" thickBot="1">
      <c r="A149" s="177" t="s">
        <v>18</v>
      </c>
      <c r="B149" s="5" t="s">
        <v>15</v>
      </c>
      <c r="C149" s="9" t="s">
        <v>42</v>
      </c>
      <c r="D149" s="5" t="s">
        <v>15</v>
      </c>
      <c r="E149" s="9" t="s">
        <v>55</v>
      </c>
      <c r="F149" s="5" t="s">
        <v>15</v>
      </c>
      <c r="G149" s="7" t="s">
        <v>56</v>
      </c>
      <c r="H149" s="80"/>
      <c r="I149" s="80"/>
      <c r="L149" s="80"/>
      <c r="M149" s="80"/>
    </row>
    <row r="150" spans="1:13">
      <c r="A150" t="s">
        <v>33</v>
      </c>
      <c r="B150" s="14">
        <v>57</v>
      </c>
      <c r="C150" s="15"/>
      <c r="D150" s="14">
        <v>35</v>
      </c>
      <c r="E150" s="15">
        <v>2.4</v>
      </c>
      <c r="F150" s="14">
        <v>21</v>
      </c>
      <c r="G150" s="15">
        <v>3.6</v>
      </c>
      <c r="L150" s="170"/>
      <c r="M150" s="170"/>
    </row>
    <row r="151" spans="1:13">
      <c r="A151" t="s">
        <v>30</v>
      </c>
      <c r="B151" s="13">
        <v>99</v>
      </c>
      <c r="C151" s="15">
        <v>3.18021201413428</v>
      </c>
      <c r="D151" s="13">
        <v>76</v>
      </c>
      <c r="E151" s="15">
        <v>2.4413748795374199</v>
      </c>
      <c r="F151" s="14">
        <v>23</v>
      </c>
      <c r="G151" s="15">
        <v>0.73883713459685196</v>
      </c>
      <c r="H151" s="13"/>
      <c r="I151" s="15"/>
      <c r="L151" s="13"/>
      <c r="M151" s="15"/>
    </row>
    <row r="152" spans="1:13">
      <c r="A152" t="s">
        <v>29</v>
      </c>
      <c r="B152" s="28">
        <v>30</v>
      </c>
      <c r="C152" s="29">
        <v>1.3</v>
      </c>
      <c r="D152" s="28">
        <v>28</v>
      </c>
      <c r="E152" s="29">
        <v>1.8</v>
      </c>
      <c r="F152" s="28" t="s">
        <v>31</v>
      </c>
      <c r="G152" s="29">
        <v>0.3</v>
      </c>
      <c r="H152" s="13"/>
      <c r="I152" s="15"/>
      <c r="L152" s="13"/>
      <c r="M152" s="15"/>
    </row>
    <row r="153" spans="1:13">
      <c r="A153" t="s">
        <v>20</v>
      </c>
      <c r="B153" s="24">
        <v>70</v>
      </c>
      <c r="C153" s="23">
        <v>3.2940999999999998</v>
      </c>
      <c r="D153" s="24">
        <v>56</v>
      </c>
      <c r="E153" s="23">
        <v>3.8304</v>
      </c>
      <c r="F153" s="24">
        <v>14</v>
      </c>
      <c r="G153" s="23">
        <v>2.1116000000000001</v>
      </c>
      <c r="H153" s="14"/>
      <c r="I153" s="15"/>
      <c r="L153" s="14"/>
      <c r="M153" s="15"/>
    </row>
    <row r="154" spans="1:13">
      <c r="A154" t="s">
        <v>19</v>
      </c>
      <c r="B154" s="104" t="s">
        <v>35</v>
      </c>
      <c r="C154" s="141" t="s">
        <v>35</v>
      </c>
      <c r="D154" s="84" t="s">
        <v>35</v>
      </c>
      <c r="E154" t="s">
        <v>35</v>
      </c>
      <c r="F154" s="84" t="s">
        <v>35</v>
      </c>
      <c r="G154" t="s">
        <v>35</v>
      </c>
      <c r="H154" s="14"/>
      <c r="I154" s="15"/>
      <c r="L154" s="14"/>
      <c r="M154" s="15"/>
    </row>
    <row r="155" spans="1:13">
      <c r="A155" t="s">
        <v>34</v>
      </c>
      <c r="B155" s="54">
        <v>12</v>
      </c>
      <c r="C155" s="55">
        <v>3.82</v>
      </c>
      <c r="D155" s="54">
        <v>7</v>
      </c>
      <c r="E155" s="55">
        <v>3.43</v>
      </c>
      <c r="F155" s="54">
        <v>5</v>
      </c>
      <c r="G155" s="55">
        <v>4.55</v>
      </c>
      <c r="H155" s="56"/>
      <c r="L155" s="56"/>
    </row>
    <row r="156" spans="1:13">
      <c r="D156" s="56"/>
    </row>
    <row r="171" spans="1:7">
      <c r="A171" s="177" t="s">
        <v>18</v>
      </c>
    </row>
    <row r="172" spans="1:7" ht="17" thickBot="1">
      <c r="A172" t="s">
        <v>33</v>
      </c>
      <c r="B172" s="83">
        <f>SUM(N178:N178)</f>
        <v>0</v>
      </c>
      <c r="C172" s="191"/>
      <c r="D172" s="65" t="s">
        <v>35</v>
      </c>
      <c r="E172" s="201"/>
      <c r="F172" s="14">
        <v>3</v>
      </c>
      <c r="G172" s="183">
        <v>3.5000000000000003E-2</v>
      </c>
    </row>
    <row r="173" spans="1:7">
      <c r="A173" t="s">
        <v>30</v>
      </c>
      <c r="B173" s="14">
        <v>27</v>
      </c>
      <c r="C173" s="192">
        <v>4.5075125208681101E-2</v>
      </c>
      <c r="D173" s="40">
        <v>23</v>
      </c>
      <c r="E173" s="192">
        <v>4.9000000000000002E-2</v>
      </c>
      <c r="F173" s="40">
        <v>4</v>
      </c>
      <c r="G173" s="183">
        <v>3.1E-2</v>
      </c>
    </row>
    <row r="174" spans="1:7">
      <c r="A174" t="s">
        <v>29</v>
      </c>
      <c r="B174" s="28">
        <v>41</v>
      </c>
      <c r="C174" s="193">
        <v>9.5000000000000001E-2</v>
      </c>
      <c r="D174" s="28">
        <v>23</v>
      </c>
      <c r="E174" s="197">
        <v>7.0999999999999994E-2</v>
      </c>
      <c r="F174" s="28">
        <v>18</v>
      </c>
      <c r="G174" s="199">
        <v>0.16800000000000001</v>
      </c>
    </row>
    <row r="175" spans="1:7">
      <c r="A175" t="s">
        <v>20</v>
      </c>
      <c r="B175" s="17">
        <v>89</v>
      </c>
      <c r="C175" s="194">
        <v>0.12570600000000001</v>
      </c>
      <c r="D175" s="17">
        <v>50</v>
      </c>
      <c r="E175" s="194">
        <v>9.0090000000000003E-2</v>
      </c>
      <c r="F175" s="17">
        <v>39</v>
      </c>
      <c r="G175" s="186">
        <v>0.25490200000000002</v>
      </c>
    </row>
    <row r="176" spans="1:7">
      <c r="A176" t="s">
        <v>19</v>
      </c>
      <c r="B176" s="17">
        <v>53</v>
      </c>
      <c r="C176" s="195">
        <v>0.105</v>
      </c>
      <c r="D176" s="17">
        <v>44</v>
      </c>
      <c r="E176" s="195">
        <v>0.11</v>
      </c>
      <c r="F176" s="17">
        <v>9</v>
      </c>
      <c r="G176" s="189">
        <v>8.4000000000000005E-2</v>
      </c>
    </row>
    <row r="177" spans="1:22">
      <c r="A177" t="s">
        <v>34</v>
      </c>
      <c r="B177" s="102">
        <v>7</v>
      </c>
      <c r="C177" s="196">
        <v>0.08</v>
      </c>
      <c r="D177" s="54">
        <v>6</v>
      </c>
      <c r="E177" s="198">
        <v>8.1000000000000003E-2</v>
      </c>
      <c r="F177" s="54">
        <v>1</v>
      </c>
      <c r="G177" s="200">
        <v>7.1400000000000005E-2</v>
      </c>
    </row>
    <row r="181" spans="1:22" ht="17" thickBot="1">
      <c r="B181" t="s">
        <v>42</v>
      </c>
      <c r="C181" t="s">
        <v>55</v>
      </c>
      <c r="D181" t="s">
        <v>56</v>
      </c>
      <c r="J181" t="s">
        <v>92</v>
      </c>
      <c r="K181" t="s">
        <v>88</v>
      </c>
      <c r="L181" t="s">
        <v>90</v>
      </c>
      <c r="Q181" t="s">
        <v>93</v>
      </c>
      <c r="R181" t="s">
        <v>89</v>
      </c>
      <c r="S181" t="s">
        <v>91</v>
      </c>
    </row>
    <row r="182" spans="1:22">
      <c r="C182" s="243" t="s">
        <v>5</v>
      </c>
      <c r="D182" s="244"/>
      <c r="E182" s="243" t="s">
        <v>5</v>
      </c>
      <c r="F182" s="244"/>
      <c r="G182" s="243" t="s">
        <v>5</v>
      </c>
      <c r="H182" s="244"/>
      <c r="J182" s="243" t="s">
        <v>23</v>
      </c>
      <c r="K182" s="244"/>
      <c r="L182" s="243" t="s">
        <v>23</v>
      </c>
      <c r="M182" s="244"/>
      <c r="N182" s="243" t="s">
        <v>23</v>
      </c>
      <c r="O182" s="244"/>
      <c r="Q182" s="243" t="s">
        <v>26</v>
      </c>
      <c r="R182" s="244"/>
      <c r="S182" s="243" t="s">
        <v>26</v>
      </c>
      <c r="T182" s="244"/>
      <c r="U182" s="243" t="s">
        <v>26</v>
      </c>
      <c r="V182" s="244"/>
    </row>
    <row r="183" spans="1:22">
      <c r="C183" s="245"/>
      <c r="D183" s="246"/>
      <c r="E183" s="245"/>
      <c r="F183" s="246"/>
      <c r="G183" s="245"/>
      <c r="H183" s="246"/>
      <c r="J183" s="245"/>
      <c r="K183" s="246"/>
      <c r="L183" s="245"/>
      <c r="M183" s="246"/>
      <c r="N183" s="245"/>
      <c r="O183" s="246"/>
      <c r="Q183" s="245"/>
      <c r="R183" s="246"/>
      <c r="S183" s="245"/>
      <c r="T183" s="246"/>
      <c r="U183" s="245"/>
      <c r="V183" s="246"/>
    </row>
    <row r="184" spans="1:22" ht="18" thickBot="1">
      <c r="B184" s="177" t="s">
        <v>18</v>
      </c>
      <c r="C184" s="7" t="s">
        <v>15</v>
      </c>
      <c r="D184" s="9" t="s">
        <v>17</v>
      </c>
      <c r="E184" s="7" t="s">
        <v>15</v>
      </c>
      <c r="F184" s="9" t="s">
        <v>17</v>
      </c>
      <c r="G184" s="7" t="s">
        <v>15</v>
      </c>
      <c r="H184" s="9" t="s">
        <v>17</v>
      </c>
      <c r="J184" s="80" t="s">
        <v>15</v>
      </c>
      <c r="K184" s="80" t="s">
        <v>28</v>
      </c>
      <c r="L184" s="7" t="s">
        <v>15</v>
      </c>
      <c r="M184" s="9" t="s">
        <v>17</v>
      </c>
      <c r="N184" s="7" t="s">
        <v>15</v>
      </c>
      <c r="O184" s="9" t="s">
        <v>17</v>
      </c>
      <c r="Q184" s="7" t="s">
        <v>15</v>
      </c>
      <c r="R184" s="9" t="s">
        <v>28</v>
      </c>
      <c r="S184" s="7" t="s">
        <v>15</v>
      </c>
      <c r="T184" s="9" t="s">
        <v>28</v>
      </c>
      <c r="U184" s="7" t="s">
        <v>15</v>
      </c>
      <c r="V184" s="9" t="s">
        <v>28</v>
      </c>
    </row>
    <row r="185" spans="1:22" ht="17" thickBot="1">
      <c r="B185" t="s">
        <v>33</v>
      </c>
      <c r="C185" s="14">
        <v>66</v>
      </c>
      <c r="D185" s="202">
        <v>2.7E-2</v>
      </c>
      <c r="E185" s="13">
        <v>35</v>
      </c>
      <c r="F185" s="187">
        <v>1.9E-2</v>
      </c>
      <c r="G185" s="13">
        <v>21</v>
      </c>
      <c r="H185" s="187">
        <v>3.1E-2</v>
      </c>
      <c r="J185" s="82"/>
      <c r="K185" s="205"/>
      <c r="L185" s="15" t="s">
        <v>35</v>
      </c>
      <c r="M185" s="187"/>
      <c r="N185" s="13">
        <v>0</v>
      </c>
      <c r="O185" s="187"/>
      <c r="Q185" s="14">
        <v>57</v>
      </c>
      <c r="R185" s="187"/>
      <c r="S185" s="14">
        <v>35</v>
      </c>
      <c r="T185" s="187">
        <v>2.4E-2</v>
      </c>
      <c r="U185" s="14">
        <v>21</v>
      </c>
      <c r="V185" s="187">
        <v>3.5999999999999997E-2</v>
      </c>
    </row>
    <row r="186" spans="1:22">
      <c r="B186" t="s">
        <v>30</v>
      </c>
      <c r="C186" s="79">
        <v>105</v>
      </c>
      <c r="D186" s="187">
        <v>2.8000000000000001E-2</v>
      </c>
      <c r="E186" s="79">
        <v>82</v>
      </c>
      <c r="F186" s="187">
        <v>2.1999999999999999E-2</v>
      </c>
      <c r="G186" s="79">
        <v>23</v>
      </c>
      <c r="H186" s="187">
        <v>6.0000000000000001E-3</v>
      </c>
      <c r="J186" s="13">
        <v>6</v>
      </c>
      <c r="K186" s="187">
        <v>1.0016694490818E-2</v>
      </c>
      <c r="L186" s="13">
        <v>6</v>
      </c>
      <c r="M186" s="187">
        <v>1.0016694490818E-2</v>
      </c>
      <c r="N186" s="14">
        <v>0</v>
      </c>
      <c r="O186" s="187"/>
      <c r="Q186" s="13">
        <v>99</v>
      </c>
      <c r="R186" s="187">
        <v>3.1802120141342802E-2</v>
      </c>
      <c r="S186" s="13">
        <v>76</v>
      </c>
      <c r="T186" s="187">
        <v>2.44137487953742E-2</v>
      </c>
      <c r="U186" s="14">
        <v>23</v>
      </c>
      <c r="V186" s="187">
        <v>7.3883713459685198E-3</v>
      </c>
    </row>
    <row r="187" spans="1:22">
      <c r="B187" t="s">
        <v>29</v>
      </c>
      <c r="C187" s="27">
        <v>46</v>
      </c>
      <c r="D187" s="190">
        <v>1.7000000000000001E-2</v>
      </c>
      <c r="E187" s="27">
        <v>44</v>
      </c>
      <c r="F187" s="190">
        <v>2.3E-2</v>
      </c>
      <c r="G187" s="27" t="s">
        <v>31</v>
      </c>
      <c r="H187" s="190">
        <v>3.0000000000000001E-3</v>
      </c>
      <c r="J187" s="31">
        <v>16</v>
      </c>
      <c r="K187" s="190">
        <v>3.6999999999999998E-2</v>
      </c>
      <c r="L187" s="27">
        <v>16</v>
      </c>
      <c r="M187" s="190">
        <v>4.9000000000000002E-2</v>
      </c>
      <c r="N187" s="27">
        <v>0</v>
      </c>
      <c r="O187" s="190"/>
      <c r="Q187" s="28">
        <v>30</v>
      </c>
      <c r="R187" s="207">
        <v>1.2999999999999999E-2</v>
      </c>
      <c r="S187" s="28">
        <v>28</v>
      </c>
      <c r="T187" s="207">
        <v>1.7999999999999999E-2</v>
      </c>
      <c r="U187" s="28" t="s">
        <v>31</v>
      </c>
      <c r="V187" s="207">
        <v>3.0000000000000001E-3</v>
      </c>
    </row>
    <row r="188" spans="1:22">
      <c r="B188" t="s">
        <v>20</v>
      </c>
      <c r="C188" s="92">
        <v>108</v>
      </c>
      <c r="D188" s="203">
        <v>3.7999999999999999E-2</v>
      </c>
      <c r="E188" s="92">
        <v>90</v>
      </c>
      <c r="F188" s="203">
        <v>4.3999999999999997E-2</v>
      </c>
      <c r="G188" s="92">
        <v>18</v>
      </c>
      <c r="H188" s="203">
        <v>2.1999999999999999E-2</v>
      </c>
      <c r="J188" s="46">
        <v>38</v>
      </c>
      <c r="K188" s="203">
        <v>5.3671999999999997E-2</v>
      </c>
      <c r="L188" s="92">
        <v>34</v>
      </c>
      <c r="M188" s="203">
        <v>6.1261000000000003E-2</v>
      </c>
      <c r="N188" s="92">
        <v>4</v>
      </c>
      <c r="O188" s="203">
        <v>2.6144000000000001E-2</v>
      </c>
      <c r="Q188" s="24">
        <v>70</v>
      </c>
      <c r="R188" s="203">
        <v>3.2940999999999998E-2</v>
      </c>
      <c r="S188" s="24">
        <v>56</v>
      </c>
      <c r="T188" s="203">
        <v>3.8303999999999998E-2</v>
      </c>
      <c r="U188" s="24">
        <v>14</v>
      </c>
      <c r="V188" s="203">
        <v>2.1115999999999999E-2</v>
      </c>
    </row>
    <row r="189" spans="1:22">
      <c r="B189" t="s">
        <v>19</v>
      </c>
      <c r="C189" s="128">
        <v>75</v>
      </c>
      <c r="D189" s="204">
        <v>3.6999999999999998E-2</v>
      </c>
      <c r="E189" s="92">
        <v>57</v>
      </c>
      <c r="F189" s="203">
        <v>0.04</v>
      </c>
      <c r="G189" s="92">
        <v>18</v>
      </c>
      <c r="H189" s="203">
        <v>0.03</v>
      </c>
      <c r="J189" s="84" t="s">
        <v>35</v>
      </c>
      <c r="K189" s="175"/>
      <c r="L189" s="84" t="s">
        <v>35</v>
      </c>
      <c r="M189" s="175" t="s">
        <v>35</v>
      </c>
      <c r="N189" s="84" t="s">
        <v>35</v>
      </c>
      <c r="O189" s="175" t="s">
        <v>35</v>
      </c>
      <c r="Q189" s="104" t="s">
        <v>35</v>
      </c>
      <c r="R189" s="208" t="s">
        <v>35</v>
      </c>
      <c r="S189" s="84" t="s">
        <v>35</v>
      </c>
      <c r="T189" s="175" t="s">
        <v>35</v>
      </c>
      <c r="U189" s="84" t="s">
        <v>35</v>
      </c>
      <c r="V189" s="175" t="s">
        <v>35</v>
      </c>
    </row>
    <row r="190" spans="1:22">
      <c r="B190" t="s">
        <v>34</v>
      </c>
      <c r="C190">
        <v>12</v>
      </c>
      <c r="D190" s="175">
        <v>0.03</v>
      </c>
      <c r="E190">
        <v>7</v>
      </c>
      <c r="F190" s="175">
        <v>2.5999999999999999E-2</v>
      </c>
      <c r="G190">
        <v>5</v>
      </c>
      <c r="H190" s="175">
        <v>0.04</v>
      </c>
      <c r="J190" s="102">
        <v>0</v>
      </c>
      <c r="K190" s="206">
        <v>0</v>
      </c>
      <c r="L190" s="54">
        <v>0</v>
      </c>
      <c r="M190" s="209">
        <v>0</v>
      </c>
      <c r="N190" s="54">
        <v>0</v>
      </c>
      <c r="O190" s="209"/>
      <c r="Q190" s="54">
        <v>12</v>
      </c>
      <c r="R190" s="209">
        <v>3.8199999999999998E-2</v>
      </c>
      <c r="S190" s="54">
        <v>7</v>
      </c>
      <c r="T190" s="209">
        <v>3.4299999999999997E-2</v>
      </c>
      <c r="U190" s="54">
        <v>5</v>
      </c>
      <c r="V190" s="209">
        <v>4.5499999999999999E-2</v>
      </c>
    </row>
    <row r="192" spans="1:22" ht="17" thickBot="1">
      <c r="B192" t="s">
        <v>42</v>
      </c>
      <c r="C192" t="s">
        <v>86</v>
      </c>
      <c r="D192" t="s">
        <v>87</v>
      </c>
      <c r="J192" t="s">
        <v>42</v>
      </c>
      <c r="K192" t="s">
        <v>86</v>
      </c>
      <c r="L192" t="s">
        <v>87</v>
      </c>
      <c r="M192" t="s">
        <v>55</v>
      </c>
      <c r="Q192" t="s">
        <v>42</v>
      </c>
      <c r="R192" t="s">
        <v>86</v>
      </c>
      <c r="S192" t="s">
        <v>87</v>
      </c>
      <c r="T192" t="s">
        <v>56</v>
      </c>
    </row>
    <row r="193" spans="2:22">
      <c r="C193" s="243" t="s">
        <v>5</v>
      </c>
      <c r="D193" s="244"/>
      <c r="E193" s="243" t="s">
        <v>23</v>
      </c>
      <c r="F193" s="244"/>
      <c r="G193" s="243" t="s">
        <v>26</v>
      </c>
      <c r="H193" s="244"/>
      <c r="J193" s="243" t="s">
        <v>5</v>
      </c>
      <c r="K193" s="244"/>
      <c r="L193" s="243" t="s">
        <v>23</v>
      </c>
      <c r="M193" s="244"/>
      <c r="N193" s="243" t="s">
        <v>26</v>
      </c>
      <c r="O193" s="244"/>
      <c r="Q193" s="243" t="s">
        <v>5</v>
      </c>
      <c r="R193" s="244"/>
      <c r="S193" s="243" t="s">
        <v>23</v>
      </c>
      <c r="T193" s="244"/>
      <c r="U193" s="243" t="s">
        <v>26</v>
      </c>
      <c r="V193" s="244"/>
    </row>
    <row r="194" spans="2:22">
      <c r="C194" s="245"/>
      <c r="D194" s="246"/>
      <c r="E194" s="245"/>
      <c r="F194" s="246"/>
      <c r="G194" s="245"/>
      <c r="H194" s="246"/>
      <c r="J194" s="245"/>
      <c r="K194" s="246"/>
      <c r="L194" s="245"/>
      <c r="M194" s="246"/>
      <c r="N194" s="245"/>
      <c r="O194" s="246"/>
      <c r="Q194" s="245"/>
      <c r="R194" s="246"/>
      <c r="S194" s="245"/>
      <c r="T194" s="246"/>
      <c r="U194" s="245"/>
      <c r="V194" s="246"/>
    </row>
    <row r="195" spans="2:22" ht="18" thickBot="1">
      <c r="B195" s="177" t="s">
        <v>18</v>
      </c>
      <c r="C195" s="7" t="s">
        <v>15</v>
      </c>
      <c r="D195" s="9" t="s">
        <v>17</v>
      </c>
      <c r="E195" s="80" t="s">
        <v>15</v>
      </c>
      <c r="F195" s="9" t="s">
        <v>17</v>
      </c>
      <c r="G195" s="7" t="s">
        <v>15</v>
      </c>
      <c r="H195" s="9" t="s">
        <v>17</v>
      </c>
      <c r="J195" s="7" t="s">
        <v>15</v>
      </c>
      <c r="K195" s="9" t="s">
        <v>17</v>
      </c>
      <c r="L195" s="7" t="s">
        <v>15</v>
      </c>
      <c r="M195" s="9" t="s">
        <v>17</v>
      </c>
      <c r="N195" s="7" t="s">
        <v>15</v>
      </c>
      <c r="O195" s="9" t="s">
        <v>28</v>
      </c>
      <c r="Q195" s="7" t="s">
        <v>15</v>
      </c>
      <c r="R195" s="9" t="s">
        <v>17</v>
      </c>
      <c r="S195" s="7" t="s">
        <v>15</v>
      </c>
      <c r="T195" s="9" t="s">
        <v>17</v>
      </c>
      <c r="U195" s="7" t="s">
        <v>15</v>
      </c>
      <c r="V195" s="9" t="s">
        <v>28</v>
      </c>
    </row>
    <row r="196" spans="2:22" ht="17" thickBot="1">
      <c r="B196" t="s">
        <v>33</v>
      </c>
      <c r="C196" s="14">
        <v>66</v>
      </c>
      <c r="D196" s="202">
        <v>2.7E-2</v>
      </c>
      <c r="E196" s="82">
        <v>9</v>
      </c>
      <c r="F196" s="205"/>
      <c r="G196" s="14">
        <v>57</v>
      </c>
      <c r="H196" s="187"/>
      <c r="J196" s="13">
        <v>35</v>
      </c>
      <c r="K196" s="187">
        <v>1.9E-2</v>
      </c>
      <c r="L196" s="15" t="s">
        <v>35</v>
      </c>
      <c r="M196" s="187"/>
      <c r="N196" s="14">
        <v>35</v>
      </c>
      <c r="O196" s="187">
        <v>2.4E-2</v>
      </c>
      <c r="Q196" s="13">
        <v>21</v>
      </c>
      <c r="R196" s="187">
        <v>3.1E-2</v>
      </c>
      <c r="S196" s="13">
        <v>0</v>
      </c>
      <c r="T196" s="187"/>
      <c r="U196" s="14">
        <v>21</v>
      </c>
      <c r="V196" s="187">
        <v>3.5999999999999997E-2</v>
      </c>
    </row>
    <row r="197" spans="2:22">
      <c r="B197" t="s">
        <v>30</v>
      </c>
      <c r="C197" s="79">
        <v>105</v>
      </c>
      <c r="D197" s="187">
        <v>2.8000000000000001E-2</v>
      </c>
      <c r="E197" s="13">
        <v>6</v>
      </c>
      <c r="F197" s="187">
        <v>1.0016694490818E-2</v>
      </c>
      <c r="G197" s="13">
        <v>99</v>
      </c>
      <c r="H197" s="187">
        <v>3.1802120141342802E-2</v>
      </c>
      <c r="J197" s="79">
        <v>82</v>
      </c>
      <c r="K197" s="187">
        <v>2.2090517241379299E-2</v>
      </c>
      <c r="L197" s="13">
        <v>6</v>
      </c>
      <c r="M197" s="187">
        <v>1.0016694490818E-2</v>
      </c>
      <c r="N197" s="13">
        <v>76</v>
      </c>
      <c r="O197" s="187">
        <v>2.44137487953742E-2</v>
      </c>
      <c r="Q197" s="79">
        <v>23</v>
      </c>
      <c r="R197" s="187">
        <v>6.1961206896551701E-3</v>
      </c>
      <c r="S197" s="14">
        <v>0</v>
      </c>
      <c r="T197" s="187"/>
      <c r="U197" s="14">
        <v>23</v>
      </c>
      <c r="V197" s="187">
        <v>7.3883713459685198E-3</v>
      </c>
    </row>
    <row r="198" spans="2:22">
      <c r="B198" t="s">
        <v>29</v>
      </c>
      <c r="C198" s="27">
        <v>46</v>
      </c>
      <c r="D198" s="190">
        <v>1.7000000000000001E-2</v>
      </c>
      <c r="E198" s="31">
        <v>16</v>
      </c>
      <c r="F198" s="190">
        <v>3.6999999999999998E-2</v>
      </c>
      <c r="G198" s="28">
        <v>30</v>
      </c>
      <c r="H198" s="207">
        <v>1.2999999999999999E-2</v>
      </c>
      <c r="J198" s="27">
        <v>44</v>
      </c>
      <c r="K198" s="190">
        <v>2.3E-2</v>
      </c>
      <c r="L198" s="27">
        <v>16</v>
      </c>
      <c r="M198" s="190">
        <v>4.9000000000000002E-2</v>
      </c>
      <c r="N198" s="28">
        <v>28</v>
      </c>
      <c r="O198" s="207">
        <v>1.7999999999999999E-2</v>
      </c>
      <c r="Q198" s="27" t="s">
        <v>31</v>
      </c>
      <c r="R198" s="190">
        <v>3.0000000000000001E-3</v>
      </c>
      <c r="S198" s="27">
        <v>0</v>
      </c>
      <c r="T198" s="190"/>
      <c r="U198" s="28" t="s">
        <v>31</v>
      </c>
      <c r="V198" s="207">
        <v>3.0000000000000001E-3</v>
      </c>
    </row>
    <row r="199" spans="2:22">
      <c r="B199" t="s">
        <v>20</v>
      </c>
      <c r="C199" s="92">
        <v>108</v>
      </c>
      <c r="D199" s="203">
        <v>3.7999999999999999E-2</v>
      </c>
      <c r="E199" s="46">
        <v>38</v>
      </c>
      <c r="F199" s="203">
        <v>5.3671999999999997E-2</v>
      </c>
      <c r="G199" s="24">
        <v>70</v>
      </c>
      <c r="H199" s="203">
        <v>3.2940999999999998E-2</v>
      </c>
      <c r="J199" s="92">
        <v>90</v>
      </c>
      <c r="K199" s="203">
        <v>4.4621000000000001E-2</v>
      </c>
      <c r="L199" s="92">
        <v>34</v>
      </c>
      <c r="M199" s="203">
        <v>6.1261000000000003E-2</v>
      </c>
      <c r="N199" s="24">
        <v>56</v>
      </c>
      <c r="O199" s="203">
        <v>3.8303999999999998E-2</v>
      </c>
      <c r="Q199" s="92">
        <v>18</v>
      </c>
      <c r="R199" s="203">
        <v>2.2058999999999999E-2</v>
      </c>
      <c r="S199" s="92">
        <v>4</v>
      </c>
      <c r="T199" s="203">
        <v>2.6144000000000001E-2</v>
      </c>
      <c r="U199" s="24">
        <v>14</v>
      </c>
      <c r="V199" s="203">
        <v>2.1115999999999999E-2</v>
      </c>
    </row>
    <row r="200" spans="2:22">
      <c r="B200" t="s">
        <v>19</v>
      </c>
      <c r="C200" s="128">
        <v>75</v>
      </c>
      <c r="D200" s="204">
        <v>3.6999999999999998E-2</v>
      </c>
      <c r="E200" s="84" t="s">
        <v>35</v>
      </c>
      <c r="F200" s="175"/>
      <c r="G200" s="104" t="s">
        <v>35</v>
      </c>
      <c r="H200" s="208" t="s">
        <v>35</v>
      </c>
      <c r="J200" s="92">
        <v>57</v>
      </c>
      <c r="K200" s="203">
        <v>4.0425999999999997E-2</v>
      </c>
      <c r="L200" s="84" t="s">
        <v>35</v>
      </c>
      <c r="M200" s="175" t="s">
        <v>35</v>
      </c>
      <c r="N200" s="84" t="s">
        <v>35</v>
      </c>
      <c r="O200" s="175" t="s">
        <v>35</v>
      </c>
      <c r="Q200" s="92">
        <v>18</v>
      </c>
      <c r="R200" s="203">
        <v>3.005E-2</v>
      </c>
      <c r="S200" s="84" t="s">
        <v>35</v>
      </c>
      <c r="T200" s="175" t="s">
        <v>35</v>
      </c>
      <c r="U200" s="84" t="s">
        <v>35</v>
      </c>
      <c r="V200" s="175" t="s">
        <v>35</v>
      </c>
    </row>
    <row r="201" spans="2:22">
      <c r="B201" t="s">
        <v>34</v>
      </c>
      <c r="C201">
        <v>12</v>
      </c>
      <c r="D201" s="175">
        <v>0.03</v>
      </c>
      <c r="E201" s="102">
        <v>0</v>
      </c>
      <c r="F201" s="206">
        <v>0</v>
      </c>
      <c r="G201" s="54">
        <v>12</v>
      </c>
      <c r="H201" s="209">
        <v>3.8199999999999998E-2</v>
      </c>
      <c r="J201">
        <v>7</v>
      </c>
      <c r="K201" s="175">
        <v>2.5999999999999999E-2</v>
      </c>
      <c r="L201" s="54">
        <v>0</v>
      </c>
      <c r="M201" s="209">
        <v>0</v>
      </c>
      <c r="N201" s="54">
        <v>7</v>
      </c>
      <c r="O201" s="209">
        <v>3.4299999999999997E-2</v>
      </c>
      <c r="Q201">
        <v>5</v>
      </c>
      <c r="R201" s="175">
        <v>0.04</v>
      </c>
      <c r="S201" s="54">
        <v>0</v>
      </c>
      <c r="T201" s="209"/>
      <c r="U201" s="54">
        <v>5</v>
      </c>
      <c r="V201" s="209">
        <v>4.5499999999999999E-2</v>
      </c>
    </row>
  </sheetData>
  <sortState xmlns:xlrd2="http://schemas.microsoft.com/office/spreadsheetml/2017/richdata2" ref="A6:Z12">
    <sortCondition descending="1" ref="Z6:Z12"/>
  </sortState>
  <mergeCells count="62">
    <mergeCell ref="AE55:AF55"/>
    <mergeCell ref="AE63:AF63"/>
    <mergeCell ref="W32:X32"/>
    <mergeCell ref="Y32:Z32"/>
    <mergeCell ref="W47:X47"/>
    <mergeCell ref="T53:U53"/>
    <mergeCell ref="T61:U61"/>
    <mergeCell ref="W55:X55"/>
    <mergeCell ref="N182:O183"/>
    <mergeCell ref="Q182:R183"/>
    <mergeCell ref="S182:T183"/>
    <mergeCell ref="U182:V183"/>
    <mergeCell ref="C193:D194"/>
    <mergeCell ref="E193:F194"/>
    <mergeCell ref="G193:H194"/>
    <mergeCell ref="J193:K194"/>
    <mergeCell ref="L193:M194"/>
    <mergeCell ref="N193:O194"/>
    <mergeCell ref="Q193:R194"/>
    <mergeCell ref="S193:T194"/>
    <mergeCell ref="U193:V194"/>
    <mergeCell ref="H147:I148"/>
    <mergeCell ref="F147:G148"/>
    <mergeCell ref="L147:M148"/>
    <mergeCell ref="C182:D183"/>
    <mergeCell ref="E182:F183"/>
    <mergeCell ref="G182:H183"/>
    <mergeCell ref="J182:K183"/>
    <mergeCell ref="L182:M183"/>
    <mergeCell ref="B147:C148"/>
    <mergeCell ref="D147:E148"/>
    <mergeCell ref="B4:B5"/>
    <mergeCell ref="C4:C5"/>
    <mergeCell ref="D4:Q4"/>
    <mergeCell ref="R4:S5"/>
    <mergeCell ref="T4:U5"/>
    <mergeCell ref="R2:S3"/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B17:B18"/>
    <mergeCell ref="C17:C18"/>
    <mergeCell ref="D17:Q17"/>
    <mergeCell ref="R17:S18"/>
    <mergeCell ref="T17:U18"/>
    <mergeCell ref="V17:W18"/>
    <mergeCell ref="X17:X18"/>
    <mergeCell ref="Y17:Y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5"/>
  <sheetViews>
    <sheetView workbookViewId="0">
      <selection activeCell="R7" sqref="R7:R12"/>
    </sheetView>
  </sheetViews>
  <sheetFormatPr baseColWidth="10" defaultColWidth="10.83203125" defaultRowHeight="16"/>
  <sheetData>
    <row r="1" spans="1:25" ht="17" thickBot="1"/>
    <row r="2" spans="1:25" ht="35" customHeight="1">
      <c r="R2" s="266"/>
      <c r="S2" s="267"/>
    </row>
    <row r="3" spans="1:25" ht="17" thickBot="1">
      <c r="R3" s="268"/>
      <c r="S3" s="269"/>
    </row>
    <row r="4" spans="1:25" s="2" customFormat="1" ht="25.25" customHeight="1">
      <c r="A4" s="12" t="s">
        <v>18</v>
      </c>
      <c r="B4" s="259" t="s">
        <v>0</v>
      </c>
      <c r="C4" s="261" t="s">
        <v>1</v>
      </c>
      <c r="D4" s="263" t="s">
        <v>2</v>
      </c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5"/>
      <c r="R4" s="243" t="s">
        <v>37</v>
      </c>
      <c r="S4" s="244"/>
      <c r="T4" s="243" t="s">
        <v>4</v>
      </c>
      <c r="U4" s="244"/>
      <c r="V4" s="243" t="s">
        <v>5</v>
      </c>
      <c r="W4" s="244"/>
      <c r="X4" s="252" t="s">
        <v>6</v>
      </c>
      <c r="Y4" s="254" t="s">
        <v>7</v>
      </c>
    </row>
    <row r="5" spans="1:25" s="2" customFormat="1" ht="25.25" customHeight="1">
      <c r="A5" s="1"/>
      <c r="B5" s="260"/>
      <c r="C5" s="262"/>
      <c r="D5" s="256" t="s">
        <v>8</v>
      </c>
      <c r="E5" s="248"/>
      <c r="F5" s="257" t="s">
        <v>9</v>
      </c>
      <c r="G5" s="248"/>
      <c r="H5" s="247" t="s">
        <v>10</v>
      </c>
      <c r="I5" s="248"/>
      <c r="J5" s="247" t="s">
        <v>11</v>
      </c>
      <c r="K5" s="248"/>
      <c r="L5" s="247" t="s">
        <v>12</v>
      </c>
      <c r="M5" s="248"/>
      <c r="N5" s="247" t="s">
        <v>13</v>
      </c>
      <c r="O5" s="248"/>
      <c r="P5" s="247" t="s">
        <v>14</v>
      </c>
      <c r="Q5" s="258"/>
      <c r="R5" s="245"/>
      <c r="S5" s="246"/>
      <c r="T5" s="245"/>
      <c r="U5" s="246"/>
      <c r="V5" s="245"/>
      <c r="W5" s="246"/>
      <c r="X5" s="253"/>
      <c r="Y5" s="255"/>
    </row>
    <row r="6" spans="1:25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</row>
    <row r="7" spans="1:25">
      <c r="A7" t="s">
        <v>33</v>
      </c>
      <c r="B7" t="s">
        <v>36</v>
      </c>
      <c r="C7" s="13">
        <v>1843</v>
      </c>
      <c r="D7" s="14" t="s">
        <v>35</v>
      </c>
      <c r="E7" s="15"/>
      <c r="F7" s="13" t="s">
        <v>35</v>
      </c>
      <c r="G7" s="15"/>
      <c r="H7" s="14">
        <v>510</v>
      </c>
      <c r="I7" s="15">
        <v>27.7</v>
      </c>
      <c r="J7" s="15" t="s">
        <v>35</v>
      </c>
      <c r="K7" s="15"/>
      <c r="L7" t="s">
        <v>35</v>
      </c>
      <c r="M7" s="15"/>
      <c r="N7" t="s">
        <v>35</v>
      </c>
      <c r="O7" s="109" t="s">
        <v>35</v>
      </c>
      <c r="P7" s="91" t="s">
        <v>35</v>
      </c>
      <c r="Q7" s="85" t="s">
        <v>35</v>
      </c>
      <c r="V7" s="13">
        <v>35</v>
      </c>
      <c r="W7" s="15">
        <v>1.9</v>
      </c>
    </row>
    <row r="8" spans="1:25">
      <c r="A8" t="s">
        <v>30</v>
      </c>
      <c r="B8" t="s">
        <v>36</v>
      </c>
      <c r="C8" s="79">
        <v>2662</v>
      </c>
      <c r="D8" s="40">
        <v>10</v>
      </c>
      <c r="E8" s="48">
        <v>0.27137042062415201</v>
      </c>
      <c r="F8" s="13">
        <v>10</v>
      </c>
      <c r="G8" s="48">
        <v>0.27137042062415201</v>
      </c>
      <c r="H8" s="13">
        <v>509</v>
      </c>
      <c r="I8" s="48">
        <v>13.812754409769299</v>
      </c>
      <c r="J8" s="13">
        <v>1097</v>
      </c>
      <c r="K8" s="48">
        <v>29.769335142469501</v>
      </c>
      <c r="L8" s="51">
        <v>943</v>
      </c>
      <c r="M8" s="48">
        <v>25.590230664857501</v>
      </c>
      <c r="N8" s="13">
        <v>0</v>
      </c>
      <c r="O8" s="48">
        <v>0</v>
      </c>
      <c r="P8" s="51">
        <v>70</v>
      </c>
      <c r="Q8" s="39">
        <v>1.89959294436906</v>
      </c>
      <c r="R8" s="13">
        <v>2639</v>
      </c>
      <c r="S8" s="15">
        <v>99.1</v>
      </c>
      <c r="T8" s="40">
        <v>23</v>
      </c>
      <c r="U8" s="39">
        <v>0.9</v>
      </c>
      <c r="V8" s="79">
        <v>82</v>
      </c>
      <c r="W8" s="15">
        <v>2.2090517241379302</v>
      </c>
      <c r="X8" s="52">
        <v>4221</v>
      </c>
      <c r="Y8" s="53">
        <v>100</v>
      </c>
    </row>
    <row r="9" spans="1:25">
      <c r="A9" t="s">
        <v>29</v>
      </c>
      <c r="B9" t="s">
        <v>36</v>
      </c>
      <c r="C9" s="27">
        <v>1898</v>
      </c>
      <c r="D9" s="28">
        <v>5</v>
      </c>
      <c r="E9" s="30">
        <v>0.3</v>
      </c>
      <c r="F9" s="31">
        <v>19</v>
      </c>
      <c r="G9" s="30">
        <v>1</v>
      </c>
      <c r="H9" s="31">
        <v>200</v>
      </c>
      <c r="I9" s="30">
        <v>10.7</v>
      </c>
      <c r="J9" s="31">
        <v>805</v>
      </c>
      <c r="K9" s="30">
        <v>42.9</v>
      </c>
      <c r="L9" s="32">
        <v>773</v>
      </c>
      <c r="M9" s="30">
        <v>41.2</v>
      </c>
      <c r="N9" s="31">
        <v>0</v>
      </c>
      <c r="O9" s="30">
        <v>0</v>
      </c>
      <c r="P9" s="32">
        <v>73</v>
      </c>
      <c r="Q9" s="29">
        <v>3.9</v>
      </c>
      <c r="R9" s="31">
        <v>1875</v>
      </c>
      <c r="S9" s="33">
        <v>98.8</v>
      </c>
      <c r="T9" s="28">
        <v>23</v>
      </c>
      <c r="U9" s="29">
        <v>1.2</v>
      </c>
      <c r="V9" s="27">
        <v>44</v>
      </c>
      <c r="W9" s="33">
        <v>2.2999999999999998</v>
      </c>
      <c r="X9" s="34">
        <v>4134</v>
      </c>
      <c r="Y9" s="35">
        <v>99.9</v>
      </c>
    </row>
    <row r="10" spans="1:25">
      <c r="A10" t="s">
        <v>20</v>
      </c>
      <c r="B10" t="s">
        <v>36</v>
      </c>
      <c r="C10" s="16">
        <v>2017</v>
      </c>
      <c r="D10" s="24">
        <v>6</v>
      </c>
      <c r="E10" s="18">
        <v>0.30499999999999999</v>
      </c>
      <c r="F10" s="19">
        <v>17</v>
      </c>
      <c r="G10" s="18">
        <v>0.86429999999999996</v>
      </c>
      <c r="H10" s="19">
        <v>347</v>
      </c>
      <c r="I10" s="18">
        <v>17.641100000000002</v>
      </c>
      <c r="J10" s="19">
        <v>826</v>
      </c>
      <c r="K10" s="18">
        <v>41.992899999999999</v>
      </c>
      <c r="L10" s="20">
        <v>703</v>
      </c>
      <c r="M10" s="18">
        <v>35.739699999999999</v>
      </c>
      <c r="N10" s="19">
        <v>1</v>
      </c>
      <c r="O10" s="18">
        <v>5.0799999999999998E-2</v>
      </c>
      <c r="P10" s="21">
        <v>67</v>
      </c>
      <c r="Q10" s="22">
        <v>3.4062000000000001</v>
      </c>
      <c r="R10" s="24">
        <v>1967</v>
      </c>
      <c r="S10" s="22">
        <v>97.5</v>
      </c>
      <c r="T10" s="17">
        <v>50</v>
      </c>
      <c r="U10" s="22">
        <v>2.4788999999999999</v>
      </c>
      <c r="V10" s="92">
        <v>90</v>
      </c>
      <c r="W10" s="23">
        <v>4.4621000000000004</v>
      </c>
      <c r="X10" s="25">
        <v>4081</v>
      </c>
      <c r="Y10" s="26">
        <v>99.706000000000003</v>
      </c>
    </row>
    <row r="11" spans="1:25">
      <c r="A11" t="s">
        <v>19</v>
      </c>
      <c r="B11" t="s">
        <v>36</v>
      </c>
      <c r="C11" s="24">
        <v>1410</v>
      </c>
      <c r="D11" s="24">
        <v>2</v>
      </c>
      <c r="E11" s="18">
        <v>0.1464</v>
      </c>
      <c r="F11" s="19">
        <v>10</v>
      </c>
      <c r="G11" s="18">
        <v>0.73209999999999997</v>
      </c>
      <c r="H11" s="19">
        <v>257</v>
      </c>
      <c r="I11" s="18">
        <v>18.8141</v>
      </c>
      <c r="J11" s="19">
        <v>524</v>
      </c>
      <c r="K11" s="18">
        <v>38.360199999999999</v>
      </c>
      <c r="L11" s="20">
        <v>519</v>
      </c>
      <c r="M11" s="18">
        <v>37.994100000000003</v>
      </c>
      <c r="N11" s="19">
        <v>0</v>
      </c>
      <c r="O11" s="18">
        <v>0</v>
      </c>
      <c r="P11" s="21">
        <v>54</v>
      </c>
      <c r="Q11" s="22">
        <v>3.9531000000000001</v>
      </c>
      <c r="R11" s="24">
        <v>1366</v>
      </c>
      <c r="S11" s="22">
        <v>96.9</v>
      </c>
      <c r="T11" s="17">
        <v>44</v>
      </c>
      <c r="U11" s="22">
        <v>3.1206</v>
      </c>
      <c r="V11" s="92">
        <v>57</v>
      </c>
      <c r="W11" s="23">
        <v>4.0426000000000002</v>
      </c>
      <c r="X11" s="25">
        <v>4145</v>
      </c>
      <c r="Y11" s="26">
        <v>100</v>
      </c>
    </row>
    <row r="12" spans="1:25">
      <c r="A12" t="s">
        <v>34</v>
      </c>
      <c r="B12" t="s">
        <v>36</v>
      </c>
      <c r="C12">
        <v>278</v>
      </c>
      <c r="D12" s="54">
        <v>0</v>
      </c>
      <c r="E12" s="55">
        <v>0</v>
      </c>
      <c r="F12">
        <v>1</v>
      </c>
      <c r="G12">
        <v>0.4</v>
      </c>
      <c r="H12">
        <v>26</v>
      </c>
      <c r="I12">
        <v>9.4</v>
      </c>
      <c r="J12">
        <v>37</v>
      </c>
      <c r="K12">
        <v>13.3</v>
      </c>
      <c r="L12">
        <v>192</v>
      </c>
      <c r="M12">
        <v>69.099999999999994</v>
      </c>
      <c r="N12">
        <v>1</v>
      </c>
      <c r="O12">
        <v>0.4</v>
      </c>
      <c r="P12">
        <v>15</v>
      </c>
      <c r="Q12">
        <v>5.4</v>
      </c>
      <c r="R12">
        <v>272</v>
      </c>
      <c r="S12">
        <v>97.8</v>
      </c>
      <c r="T12" s="54">
        <v>6</v>
      </c>
      <c r="U12">
        <v>2.2000000000000002</v>
      </c>
      <c r="V12">
        <v>7</v>
      </c>
      <c r="W12">
        <v>2.6</v>
      </c>
      <c r="X12" s="54">
        <v>3366</v>
      </c>
      <c r="Y12" s="55">
        <v>82.74</v>
      </c>
    </row>
    <row r="13" spans="1:25" ht="17" thickBot="1"/>
    <row r="14" spans="1:25" ht="18" thickTop="1" thickBot="1">
      <c r="C14" s="13"/>
      <c r="D14" s="60"/>
      <c r="E14" s="14"/>
      <c r="F14" s="60"/>
      <c r="G14" s="13"/>
      <c r="H14" s="15"/>
      <c r="I14" s="13"/>
      <c r="J14" s="15"/>
      <c r="K14" s="13"/>
      <c r="M14" s="14"/>
      <c r="N14" s="15"/>
      <c r="O14" s="14"/>
      <c r="P14" s="15"/>
      <c r="Q14" s="13"/>
      <c r="R14" s="15"/>
      <c r="S14" s="39"/>
    </row>
    <row r="15" spans="1:25" ht="17" thickTop="1">
      <c r="D15" s="14"/>
      <c r="E15" s="15"/>
      <c r="F15" s="13"/>
      <c r="G15" s="15"/>
      <c r="H15" s="14"/>
      <c r="I15" s="15"/>
      <c r="J15" s="13"/>
      <c r="K15" s="15"/>
      <c r="L15" s="13"/>
      <c r="M15" s="15"/>
      <c r="N15" s="13"/>
      <c r="O15" s="15"/>
      <c r="P15" s="14"/>
      <c r="Q15" s="15"/>
      <c r="R15" s="14"/>
      <c r="S15" s="39"/>
    </row>
    <row r="16" spans="1:25" ht="17" thickBot="1"/>
    <row r="17" spans="1:25" s="2" customFormat="1" ht="25.25" customHeight="1">
      <c r="A17" s="12" t="s">
        <v>18</v>
      </c>
      <c r="B17" s="259" t="s">
        <v>0</v>
      </c>
      <c r="C17" s="261" t="s">
        <v>1</v>
      </c>
      <c r="D17" s="263" t="s">
        <v>2</v>
      </c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5"/>
      <c r="R17" s="243" t="s">
        <v>37</v>
      </c>
      <c r="S17" s="244"/>
      <c r="T17" s="243" t="s">
        <v>4</v>
      </c>
      <c r="U17" s="244"/>
      <c r="V17" s="243" t="s">
        <v>5</v>
      </c>
      <c r="W17" s="244"/>
      <c r="X17" s="252" t="s">
        <v>6</v>
      </c>
      <c r="Y17" s="254" t="s">
        <v>7</v>
      </c>
    </row>
    <row r="18" spans="1:25" s="2" customFormat="1" ht="25.25" customHeight="1">
      <c r="A18" s="1"/>
      <c r="B18" s="260"/>
      <c r="C18" s="262"/>
      <c r="D18" s="256" t="s">
        <v>8</v>
      </c>
      <c r="E18" s="248"/>
      <c r="F18" s="257" t="s">
        <v>9</v>
      </c>
      <c r="G18" s="248"/>
      <c r="H18" s="247" t="s">
        <v>10</v>
      </c>
      <c r="I18" s="248"/>
      <c r="J18" s="247" t="s">
        <v>11</v>
      </c>
      <c r="K18" s="248"/>
      <c r="L18" s="247" t="s">
        <v>12</v>
      </c>
      <c r="M18" s="248"/>
      <c r="N18" s="247" t="s">
        <v>13</v>
      </c>
      <c r="O18" s="248"/>
      <c r="P18" s="247" t="s">
        <v>14</v>
      </c>
      <c r="Q18" s="258"/>
      <c r="R18" s="245"/>
      <c r="S18" s="246"/>
      <c r="T18" s="245"/>
      <c r="U18" s="246"/>
      <c r="V18" s="245"/>
      <c r="W18" s="246"/>
      <c r="X18" s="253"/>
      <c r="Y18" s="255"/>
    </row>
    <row r="19" spans="1:25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5" t="s">
        <v>15</v>
      </c>
      <c r="S19" s="9" t="s">
        <v>17</v>
      </c>
      <c r="T19" s="5" t="s">
        <v>15</v>
      </c>
      <c r="U19" s="9" t="s">
        <v>17</v>
      </c>
      <c r="V19" s="7" t="s">
        <v>15</v>
      </c>
      <c r="W19" s="9" t="s">
        <v>17</v>
      </c>
      <c r="X19" s="10"/>
      <c r="Y19" s="11"/>
    </row>
    <row r="20" spans="1:25">
      <c r="A20" t="s">
        <v>33</v>
      </c>
      <c r="B20" t="s">
        <v>38</v>
      </c>
      <c r="C20" s="65">
        <v>93295</v>
      </c>
      <c r="D20" s="54">
        <v>1871</v>
      </c>
      <c r="E20">
        <v>2</v>
      </c>
      <c r="F20" s="54">
        <v>4427</v>
      </c>
      <c r="G20">
        <v>4.7</v>
      </c>
      <c r="H20" s="54">
        <v>20599</v>
      </c>
      <c r="I20">
        <v>22.1</v>
      </c>
      <c r="J20" s="54">
        <v>35021</v>
      </c>
      <c r="K20">
        <v>37.5</v>
      </c>
      <c r="L20" s="54">
        <v>44516</v>
      </c>
      <c r="M20">
        <v>47.7</v>
      </c>
      <c r="R20">
        <v>92694</v>
      </c>
      <c r="S20">
        <v>99.4</v>
      </c>
      <c r="T20">
        <v>601</v>
      </c>
      <c r="U20">
        <v>0.6</v>
      </c>
      <c r="V20" s="65">
        <v>5046</v>
      </c>
      <c r="W20">
        <v>5.4</v>
      </c>
    </row>
    <row r="21" spans="1:25">
      <c r="A21" t="s">
        <v>30</v>
      </c>
      <c r="B21" t="s">
        <v>38</v>
      </c>
      <c r="C21" s="13">
        <v>83283</v>
      </c>
      <c r="D21" s="69">
        <v>1745</v>
      </c>
      <c r="E21" s="164">
        <v>1.6</v>
      </c>
      <c r="F21" s="69">
        <v>887</v>
      </c>
      <c r="G21" s="164">
        <v>0.8</v>
      </c>
      <c r="H21" s="69">
        <v>18508</v>
      </c>
      <c r="I21" s="164">
        <v>16.899999999999999</v>
      </c>
      <c r="J21" s="69">
        <v>27985</v>
      </c>
      <c r="K21" s="164">
        <v>25.5</v>
      </c>
      <c r="L21" s="69">
        <v>30700</v>
      </c>
      <c r="M21" s="164">
        <v>28</v>
      </c>
      <c r="N21" s="69">
        <v>197</v>
      </c>
      <c r="O21" s="164">
        <v>0.2</v>
      </c>
      <c r="P21" s="69">
        <v>2056</v>
      </c>
      <c r="Q21" s="164">
        <v>1.9</v>
      </c>
      <c r="R21" s="13">
        <v>82078</v>
      </c>
      <c r="S21" s="15">
        <v>73.932155146012406</v>
      </c>
      <c r="T21" s="13">
        <v>1205</v>
      </c>
      <c r="U21" s="15">
        <v>1.0854095732223601</v>
      </c>
      <c r="V21" s="13">
        <v>4997</v>
      </c>
      <c r="W21" s="15">
        <v>4.5010718982507303</v>
      </c>
      <c r="X21" s="163">
        <v>95635</v>
      </c>
      <c r="Y21" s="45">
        <v>99.872431641135606</v>
      </c>
    </row>
    <row r="22" spans="1:25" ht="17" thickBot="1">
      <c r="A22" t="s">
        <v>29</v>
      </c>
      <c r="B22" t="s">
        <v>38</v>
      </c>
      <c r="C22" s="31">
        <v>82787</v>
      </c>
      <c r="D22" s="31">
        <v>1343</v>
      </c>
      <c r="E22" s="33">
        <v>1.7</v>
      </c>
      <c r="F22" s="31">
        <v>665</v>
      </c>
      <c r="G22" s="33">
        <v>0.8</v>
      </c>
      <c r="H22" s="31">
        <v>14168</v>
      </c>
      <c r="I22" s="33">
        <v>17.600000000000001</v>
      </c>
      <c r="J22" s="31">
        <v>23724</v>
      </c>
      <c r="K22" s="33">
        <v>29.4</v>
      </c>
      <c r="L22" s="31">
        <v>37340</v>
      </c>
      <c r="M22" s="33">
        <v>46.3</v>
      </c>
      <c r="N22" s="31">
        <v>167</v>
      </c>
      <c r="O22" s="33">
        <v>0.2</v>
      </c>
      <c r="P22" s="31">
        <v>3224</v>
      </c>
      <c r="Q22" s="33">
        <v>4</v>
      </c>
      <c r="R22" s="31">
        <v>80631</v>
      </c>
      <c r="S22" s="33">
        <v>97.4</v>
      </c>
      <c r="T22" s="31">
        <v>2156</v>
      </c>
      <c r="U22" s="33">
        <v>2.6</v>
      </c>
      <c r="V22" s="31">
        <v>4451</v>
      </c>
      <c r="W22" s="33">
        <v>5.4</v>
      </c>
      <c r="X22" s="161">
        <v>95507</v>
      </c>
      <c r="Y22" s="143">
        <v>99.7</v>
      </c>
    </row>
    <row r="23" spans="1:25" ht="17" thickBot="1">
      <c r="A23" t="s">
        <v>20</v>
      </c>
      <c r="B23" t="s">
        <v>38</v>
      </c>
      <c r="C23" s="16">
        <v>74051</v>
      </c>
      <c r="D23" s="66">
        <v>1112</v>
      </c>
      <c r="E23" s="18">
        <v>1.5516000000000001</v>
      </c>
      <c r="F23" s="19">
        <v>738</v>
      </c>
      <c r="G23" s="18">
        <v>1.0297000000000001</v>
      </c>
      <c r="H23" s="19">
        <v>15629</v>
      </c>
      <c r="I23" s="18">
        <v>21.807200000000002</v>
      </c>
      <c r="J23" s="20">
        <v>23816</v>
      </c>
      <c r="K23" s="18">
        <v>33.230499999999999</v>
      </c>
      <c r="L23" s="67">
        <v>27599</v>
      </c>
      <c r="M23" s="18">
        <v>38.509</v>
      </c>
      <c r="N23" s="20">
        <v>214</v>
      </c>
      <c r="O23" s="18">
        <v>0.29859999999999998</v>
      </c>
      <c r="P23" s="67">
        <v>2561</v>
      </c>
      <c r="Q23" s="22">
        <v>3.5733700000000002</v>
      </c>
      <c r="R23" s="66">
        <v>71669</v>
      </c>
      <c r="S23" s="22">
        <v>96.8</v>
      </c>
      <c r="T23" s="24">
        <v>2382</v>
      </c>
      <c r="U23" s="22">
        <v>3.2166999999999999</v>
      </c>
      <c r="V23" s="46">
        <v>4662</v>
      </c>
      <c r="W23" s="23">
        <v>6.2957000000000001</v>
      </c>
      <c r="X23" s="25">
        <v>96360</v>
      </c>
      <c r="Y23" s="26">
        <v>99.984999999999999</v>
      </c>
    </row>
    <row r="24" spans="1:25" ht="17" thickBot="1">
      <c r="A24" t="s">
        <v>19</v>
      </c>
      <c r="B24" t="s">
        <v>38</v>
      </c>
      <c r="C24" s="16">
        <v>73942</v>
      </c>
      <c r="D24" s="66">
        <v>903</v>
      </c>
      <c r="E24" s="18">
        <v>1.2689999999999999</v>
      </c>
      <c r="F24" s="19">
        <v>624</v>
      </c>
      <c r="G24" s="18">
        <v>0.87690000000000001</v>
      </c>
      <c r="H24" s="19">
        <v>15473</v>
      </c>
      <c r="I24" s="18">
        <v>21.744</v>
      </c>
      <c r="J24" s="20">
        <v>25364</v>
      </c>
      <c r="K24" s="18">
        <v>35.643599999999999</v>
      </c>
      <c r="L24" s="67">
        <v>25956</v>
      </c>
      <c r="M24" s="18">
        <v>36.475499999999997</v>
      </c>
      <c r="N24" s="20">
        <v>177</v>
      </c>
      <c r="O24" s="18">
        <v>0.2487</v>
      </c>
      <c r="P24" s="67">
        <v>2663</v>
      </c>
      <c r="Q24" s="22">
        <v>3.7423000000000002</v>
      </c>
      <c r="R24" s="66">
        <v>71160</v>
      </c>
      <c r="S24" s="22">
        <v>93.5</v>
      </c>
      <c r="T24" s="24">
        <v>2782</v>
      </c>
      <c r="U24" s="22">
        <v>3.7624</v>
      </c>
      <c r="V24" s="46">
        <v>4790</v>
      </c>
      <c r="W24" s="23">
        <v>6.4781000000000004</v>
      </c>
      <c r="X24" s="25">
        <v>97632</v>
      </c>
      <c r="Y24" s="26">
        <v>99.988</v>
      </c>
    </row>
    <row r="25" spans="1:25">
      <c r="A25" t="s">
        <v>34</v>
      </c>
      <c r="B25" t="s">
        <v>38</v>
      </c>
      <c r="C25" s="88">
        <v>21017</v>
      </c>
      <c r="D25" s="84">
        <v>227</v>
      </c>
      <c r="E25" s="109">
        <v>1.1000000000000001</v>
      </c>
      <c r="F25">
        <v>158</v>
      </c>
      <c r="G25" s="109">
        <v>0.8</v>
      </c>
      <c r="H25">
        <v>3956</v>
      </c>
      <c r="I25" s="109">
        <v>18.8</v>
      </c>
      <c r="J25">
        <v>5203</v>
      </c>
      <c r="K25" s="109">
        <v>24.8</v>
      </c>
      <c r="L25">
        <v>9731</v>
      </c>
      <c r="M25" s="109">
        <v>46.3</v>
      </c>
      <c r="N25">
        <v>40</v>
      </c>
      <c r="O25" s="109">
        <v>0.2</v>
      </c>
      <c r="P25" s="91">
        <v>860</v>
      </c>
      <c r="Q25" s="85">
        <v>4.0999999999999996</v>
      </c>
      <c r="R25" s="147">
        <v>20175</v>
      </c>
      <c r="S25" s="167">
        <v>96</v>
      </c>
      <c r="T25" s="146">
        <v>842</v>
      </c>
      <c r="U25" s="166">
        <v>4</v>
      </c>
      <c r="V25" s="147">
        <v>1251</v>
      </c>
      <c r="W25" s="59">
        <v>6</v>
      </c>
      <c r="X25" s="136">
        <v>84270</v>
      </c>
      <c r="Y25" s="137">
        <v>88.15</v>
      </c>
    </row>
    <row r="26" spans="1:25">
      <c r="A26">
        <v>2023</v>
      </c>
      <c r="B26" t="s">
        <v>38</v>
      </c>
      <c r="C26" s="84"/>
      <c r="D26" s="84"/>
      <c r="E26" s="109"/>
      <c r="G26" s="109"/>
      <c r="I26" s="109"/>
      <c r="K26" s="109"/>
      <c r="M26" s="109"/>
      <c r="O26" s="109"/>
      <c r="Q26" s="85"/>
      <c r="R26" s="84"/>
      <c r="S26" s="85"/>
      <c r="T26" s="84"/>
      <c r="U26" s="85"/>
      <c r="V26" s="84"/>
      <c r="X26" s="88"/>
      <c r="Y26" s="91"/>
    </row>
    <row r="27" spans="1:25">
      <c r="A27">
        <v>2024</v>
      </c>
      <c r="B27" t="s">
        <v>38</v>
      </c>
      <c r="D27" s="56"/>
      <c r="E27" s="57"/>
      <c r="F27" s="56"/>
      <c r="G27" s="57"/>
      <c r="H27" s="56"/>
      <c r="I27" s="57"/>
      <c r="J27" s="56"/>
      <c r="K27" s="57"/>
      <c r="L27" s="56"/>
      <c r="M27" s="57"/>
      <c r="N27" s="56"/>
      <c r="O27" s="57"/>
      <c r="P27" s="56"/>
      <c r="Q27" s="57"/>
      <c r="R27" s="56"/>
      <c r="S27" s="57"/>
    </row>
    <row r="29" spans="1:25">
      <c r="C29" s="65"/>
    </row>
    <row r="30" spans="1:25">
      <c r="D30" s="65"/>
      <c r="F30" s="65"/>
      <c r="H30" s="65"/>
      <c r="J30" s="65"/>
      <c r="L30" s="65"/>
      <c r="M30" s="55"/>
      <c r="N30" s="54"/>
      <c r="O30" s="55"/>
      <c r="P30" s="54"/>
      <c r="Q30" s="55"/>
      <c r="R30" s="54"/>
      <c r="S30" s="55"/>
      <c r="T30" s="54"/>
      <c r="U30" s="55"/>
    </row>
    <row r="31" spans="1:25">
      <c r="C31" s="54"/>
      <c r="D31" t="s">
        <v>47</v>
      </c>
      <c r="K31" s="54"/>
      <c r="M31" s="55"/>
      <c r="N31" s="54"/>
      <c r="O31" s="55"/>
      <c r="P31" s="54"/>
      <c r="Q31" s="55"/>
      <c r="R31" s="54"/>
      <c r="S31" s="55"/>
      <c r="T31" s="54"/>
      <c r="U31" s="55"/>
    </row>
    <row r="32" spans="1:25">
      <c r="C32" s="70"/>
      <c r="D32" s="70"/>
      <c r="E32" s="70" t="s">
        <v>40</v>
      </c>
      <c r="F32" s="75" t="s">
        <v>9</v>
      </c>
      <c r="G32" s="75" t="s">
        <v>44</v>
      </c>
      <c r="H32" s="75" t="s">
        <v>41</v>
      </c>
      <c r="I32" s="75" t="s">
        <v>12</v>
      </c>
      <c r="J32" t="s">
        <v>45</v>
      </c>
      <c r="K32" t="s">
        <v>14</v>
      </c>
      <c r="L32" t="s">
        <v>42</v>
      </c>
      <c r="M32" s="70"/>
      <c r="N32" s="70"/>
      <c r="O32" s="70"/>
      <c r="P32" s="70"/>
      <c r="Q32" s="70"/>
      <c r="R32" s="70"/>
      <c r="S32" s="70"/>
      <c r="T32" s="70"/>
      <c r="U32" s="70"/>
    </row>
    <row r="33" spans="4:12">
      <c r="D33" t="s">
        <v>33</v>
      </c>
      <c r="E33" s="15"/>
      <c r="F33" s="15"/>
      <c r="G33" s="15"/>
      <c r="H33" s="15"/>
      <c r="I33" s="15"/>
      <c r="J33" s="15"/>
      <c r="K33" s="15"/>
      <c r="L33">
        <v>18.2</v>
      </c>
    </row>
    <row r="34" spans="4:12">
      <c r="D34" t="s">
        <v>30</v>
      </c>
      <c r="E34" s="48">
        <v>0.27137042062415201</v>
      </c>
      <c r="F34" s="48">
        <v>0.27137042062415201</v>
      </c>
      <c r="G34" s="48">
        <v>13.812754409769299</v>
      </c>
      <c r="H34" s="48">
        <v>29.769335142469501</v>
      </c>
      <c r="I34" s="48">
        <v>25.590230664857501</v>
      </c>
      <c r="J34" s="48">
        <v>0</v>
      </c>
      <c r="K34" s="39">
        <v>1.89959294436906</v>
      </c>
      <c r="L34" s="15">
        <v>26.3</v>
      </c>
    </row>
    <row r="35" spans="4:12">
      <c r="D35" t="s">
        <v>29</v>
      </c>
      <c r="E35" s="30">
        <v>0.3</v>
      </c>
      <c r="F35" s="30">
        <v>1</v>
      </c>
      <c r="G35" s="30">
        <v>10.7</v>
      </c>
      <c r="H35" s="30">
        <v>42.9</v>
      </c>
      <c r="I35" s="30">
        <v>41.2</v>
      </c>
      <c r="J35" s="30">
        <v>0</v>
      </c>
      <c r="K35" s="29">
        <v>3.9</v>
      </c>
      <c r="L35" s="33">
        <v>18.8</v>
      </c>
    </row>
    <row r="36" spans="4:12">
      <c r="D36" t="s">
        <v>20</v>
      </c>
      <c r="E36" s="18">
        <v>0.30499999999999999</v>
      </c>
      <c r="F36" s="18">
        <v>0.86429999999999996</v>
      </c>
      <c r="G36" s="18">
        <v>17.641100000000002</v>
      </c>
      <c r="H36" s="18">
        <v>41.992899999999999</v>
      </c>
      <c r="I36" s="18">
        <v>35.739699999999999</v>
      </c>
      <c r="J36" s="18">
        <v>5.0799999999999998E-2</v>
      </c>
      <c r="K36" s="22">
        <v>3.4062000000000001</v>
      </c>
      <c r="L36" s="23">
        <v>20</v>
      </c>
    </row>
    <row r="37" spans="4:12">
      <c r="D37" t="s">
        <v>19</v>
      </c>
      <c r="E37" s="18">
        <v>0.1464</v>
      </c>
      <c r="F37" s="18">
        <v>0.73209999999999997</v>
      </c>
      <c r="G37" s="18">
        <v>18.8141</v>
      </c>
      <c r="H37" s="18">
        <v>38.360199999999999</v>
      </c>
      <c r="I37" s="18">
        <v>37.994100000000003</v>
      </c>
      <c r="J37" s="18">
        <v>0</v>
      </c>
      <c r="K37" s="22">
        <v>3.9531000000000001</v>
      </c>
      <c r="L37" s="23">
        <v>13.9</v>
      </c>
    </row>
    <row r="38" spans="4:12">
      <c r="D38" t="s">
        <v>34</v>
      </c>
      <c r="E38" s="55">
        <v>0</v>
      </c>
      <c r="F38">
        <v>0.4</v>
      </c>
      <c r="G38">
        <v>9.4</v>
      </c>
      <c r="H38">
        <v>13.3</v>
      </c>
      <c r="I38">
        <v>69.099999999999994</v>
      </c>
      <c r="J38">
        <v>0.4</v>
      </c>
      <c r="K38">
        <v>5.4</v>
      </c>
      <c r="L38">
        <v>2.8</v>
      </c>
    </row>
    <row r="42" spans="4:12" ht="17" thickBot="1"/>
    <row r="43" spans="4:12" ht="57">
      <c r="D43" t="s">
        <v>18</v>
      </c>
      <c r="E43" s="71" t="s">
        <v>66</v>
      </c>
      <c r="F43" s="71" t="s">
        <v>67</v>
      </c>
      <c r="G43" s="177" t="s">
        <v>59</v>
      </c>
      <c r="I43" t="s">
        <v>18</v>
      </c>
      <c r="J43" s="71" t="s">
        <v>76</v>
      </c>
      <c r="K43" s="71" t="s">
        <v>80</v>
      </c>
      <c r="L43" s="177" t="s">
        <v>81</v>
      </c>
    </row>
    <row r="44" spans="4:12">
      <c r="D44" t="s">
        <v>33</v>
      </c>
      <c r="E44" s="13">
        <v>1843</v>
      </c>
      <c r="F44" s="65">
        <v>93295</v>
      </c>
      <c r="G44" s="178">
        <v>0.02</v>
      </c>
      <c r="I44" t="s">
        <v>33</v>
      </c>
      <c r="J44" s="178">
        <v>0.02</v>
      </c>
      <c r="K44" s="178">
        <v>2.1000000000000001E-2</v>
      </c>
      <c r="L44" s="178">
        <v>1.9E-2</v>
      </c>
    </row>
    <row r="45" spans="4:12">
      <c r="D45" t="s">
        <v>30</v>
      </c>
      <c r="E45" s="79">
        <v>2662</v>
      </c>
      <c r="F45" s="13">
        <v>83283</v>
      </c>
      <c r="G45" s="178">
        <v>3.2000000000000001E-2</v>
      </c>
      <c r="I45" t="s">
        <v>30</v>
      </c>
      <c r="J45" s="178">
        <v>3.2000000000000001E-2</v>
      </c>
      <c r="K45" s="178">
        <v>2.5000000000000001E-2</v>
      </c>
      <c r="L45" s="178">
        <v>3.4000000000000002E-2</v>
      </c>
    </row>
    <row r="46" spans="4:12">
      <c r="D46" t="s">
        <v>29</v>
      </c>
      <c r="E46" s="27">
        <v>1898</v>
      </c>
      <c r="F46" s="31">
        <v>82787</v>
      </c>
      <c r="G46" s="178">
        <v>2.3E-2</v>
      </c>
      <c r="I46" t="s">
        <v>29</v>
      </c>
      <c r="J46" s="178">
        <v>2.3E-2</v>
      </c>
      <c r="K46" s="178">
        <v>1.4999999999999999E-2</v>
      </c>
      <c r="L46" s="178">
        <v>2.5999999999999999E-2</v>
      </c>
    </row>
    <row r="47" spans="4:12">
      <c r="D47" t="s">
        <v>20</v>
      </c>
      <c r="E47" s="16">
        <v>2017</v>
      </c>
      <c r="F47" s="16">
        <v>74051</v>
      </c>
      <c r="G47" s="178">
        <v>2.7E-2</v>
      </c>
      <c r="I47" t="s">
        <v>20</v>
      </c>
      <c r="J47" s="178">
        <v>2.7E-2</v>
      </c>
      <c r="K47" s="178">
        <v>2.8000000000000001E-2</v>
      </c>
      <c r="L47" s="178">
        <v>2.7E-2</v>
      </c>
    </row>
    <row r="48" spans="4:12">
      <c r="D48" t="s">
        <v>19</v>
      </c>
      <c r="E48" s="24">
        <v>1410</v>
      </c>
      <c r="F48" s="16">
        <v>73942</v>
      </c>
      <c r="G48" s="178">
        <v>1.9E-2</v>
      </c>
      <c r="I48" t="s">
        <v>19</v>
      </c>
      <c r="J48" s="178">
        <v>1.9E-2</v>
      </c>
      <c r="K48" s="178">
        <v>0.02</v>
      </c>
      <c r="L48" s="178">
        <v>1.9E-2</v>
      </c>
    </row>
    <row r="49" spans="4:15">
      <c r="D49" t="s">
        <v>34</v>
      </c>
      <c r="E49">
        <v>278</v>
      </c>
      <c r="F49" s="88">
        <v>21017</v>
      </c>
      <c r="G49" s="178">
        <v>1.2999999999999999E-2</v>
      </c>
      <c r="I49" t="s">
        <v>34</v>
      </c>
      <c r="J49" s="178">
        <v>1.2999999999999999E-2</v>
      </c>
      <c r="K49" s="178">
        <v>1.2999999999999999E-2</v>
      </c>
      <c r="L49" s="178">
        <v>1.2999999999999999E-2</v>
      </c>
    </row>
    <row r="50" spans="4:15">
      <c r="N50" s="65"/>
      <c r="O50" s="65"/>
    </row>
    <row r="51" spans="4:15">
      <c r="N51" s="65"/>
      <c r="O51" s="65"/>
    </row>
    <row r="52" spans="4:15">
      <c r="N52" s="65"/>
      <c r="O52" s="65"/>
    </row>
    <row r="53" spans="4:15">
      <c r="N53" s="65"/>
      <c r="O53" s="65"/>
    </row>
    <row r="54" spans="4:15">
      <c r="N54" s="65"/>
      <c r="O54" s="65"/>
    </row>
    <row r="55" spans="4:15">
      <c r="O55" s="65"/>
    </row>
  </sheetData>
  <sortState xmlns:xlrd2="http://schemas.microsoft.com/office/spreadsheetml/2017/richdata2" ref="A19:Z27">
    <sortCondition descending="1" ref="Z19:Z27"/>
  </sortState>
  <mergeCells count="31">
    <mergeCell ref="B4:B5"/>
    <mergeCell ref="C4:C5"/>
    <mergeCell ref="D4:Q4"/>
    <mergeCell ref="R4:S5"/>
    <mergeCell ref="T4:U5"/>
    <mergeCell ref="R2:S3"/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B17:B18"/>
    <mergeCell ref="C17:C18"/>
    <mergeCell ref="D17:Q17"/>
    <mergeCell ref="R17:S18"/>
    <mergeCell ref="T17:U18"/>
    <mergeCell ref="V17:W18"/>
    <mergeCell ref="X17:X18"/>
    <mergeCell ref="Y17:Y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Y52"/>
  <sheetViews>
    <sheetView zoomScaleNormal="100" workbookViewId="0">
      <selection activeCell="R7" sqref="R7:R12"/>
    </sheetView>
  </sheetViews>
  <sheetFormatPr baseColWidth="10" defaultColWidth="10.83203125" defaultRowHeight="16"/>
  <sheetData>
    <row r="3" spans="1:25" ht="39" customHeight="1" thickBot="1"/>
    <row r="4" spans="1:25" s="2" customFormat="1" ht="25.25" customHeight="1">
      <c r="A4" s="12" t="s">
        <v>18</v>
      </c>
      <c r="B4" s="259" t="s">
        <v>0</v>
      </c>
      <c r="C4" s="261" t="s">
        <v>1</v>
      </c>
      <c r="D4" s="263" t="s">
        <v>2</v>
      </c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5"/>
      <c r="R4" s="243" t="s">
        <v>37</v>
      </c>
      <c r="S4" s="244"/>
      <c r="T4" s="243" t="s">
        <v>4</v>
      </c>
      <c r="U4" s="244"/>
      <c r="V4" s="243" t="s">
        <v>5</v>
      </c>
      <c r="W4" s="244"/>
      <c r="X4" s="252" t="s">
        <v>6</v>
      </c>
      <c r="Y4" s="254" t="s">
        <v>7</v>
      </c>
    </row>
    <row r="5" spans="1:25" s="2" customFormat="1" ht="25.25" customHeight="1">
      <c r="A5" s="1"/>
      <c r="B5" s="260"/>
      <c r="C5" s="262"/>
      <c r="D5" s="256" t="s">
        <v>8</v>
      </c>
      <c r="E5" s="248"/>
      <c r="F5" s="257" t="s">
        <v>9</v>
      </c>
      <c r="G5" s="248"/>
      <c r="H5" s="247" t="s">
        <v>10</v>
      </c>
      <c r="I5" s="248"/>
      <c r="J5" s="247" t="s">
        <v>11</v>
      </c>
      <c r="K5" s="248"/>
      <c r="L5" s="247" t="s">
        <v>12</v>
      </c>
      <c r="M5" s="248"/>
      <c r="N5" s="247" t="s">
        <v>13</v>
      </c>
      <c r="O5" s="248"/>
      <c r="P5" s="247" t="s">
        <v>14</v>
      </c>
      <c r="Q5" s="258"/>
      <c r="R5" s="245"/>
      <c r="S5" s="246"/>
      <c r="T5" s="245"/>
      <c r="U5" s="246"/>
      <c r="V5" s="245"/>
      <c r="W5" s="246"/>
      <c r="X5" s="253"/>
      <c r="Y5" s="255"/>
    </row>
    <row r="6" spans="1:25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5" t="s">
        <v>15</v>
      </c>
      <c r="S6" s="9" t="s">
        <v>17</v>
      </c>
      <c r="T6" s="5" t="s">
        <v>15</v>
      </c>
      <c r="U6" s="9" t="s">
        <v>17</v>
      </c>
      <c r="V6" s="7" t="s">
        <v>15</v>
      </c>
      <c r="W6" s="9" t="s">
        <v>17</v>
      </c>
      <c r="X6" s="10"/>
      <c r="Y6" s="11"/>
    </row>
    <row r="7" spans="1:25">
      <c r="A7" t="s">
        <v>33</v>
      </c>
      <c r="B7" t="s">
        <v>36</v>
      </c>
      <c r="C7" s="13">
        <v>678</v>
      </c>
      <c r="D7" s="14">
        <v>4</v>
      </c>
      <c r="E7" s="15">
        <v>0.6</v>
      </c>
      <c r="F7" s="13" t="s">
        <v>35</v>
      </c>
      <c r="G7" s="15"/>
      <c r="H7" s="14" t="s">
        <v>35</v>
      </c>
      <c r="I7" s="15"/>
      <c r="J7" s="13" t="s">
        <v>43</v>
      </c>
      <c r="K7" s="15"/>
      <c r="L7" s="13">
        <v>269</v>
      </c>
      <c r="M7" s="15">
        <v>39.700000000000003</v>
      </c>
      <c r="N7" t="s">
        <v>35</v>
      </c>
      <c r="O7" s="109" t="s">
        <v>35</v>
      </c>
      <c r="P7" s="91" t="s">
        <v>35</v>
      </c>
      <c r="Q7" s="85" t="s">
        <v>35</v>
      </c>
      <c r="R7" s="170" t="s">
        <v>35</v>
      </c>
      <c r="S7" s="171" t="s">
        <v>35</v>
      </c>
      <c r="T7" s="170" t="s">
        <v>35</v>
      </c>
      <c r="U7" s="172" t="s">
        <v>35</v>
      </c>
      <c r="V7" s="13">
        <v>21</v>
      </c>
      <c r="W7" s="15">
        <v>3.1</v>
      </c>
    </row>
    <row r="8" spans="1:25">
      <c r="A8" t="s">
        <v>30</v>
      </c>
      <c r="B8" t="s">
        <v>36</v>
      </c>
      <c r="C8" s="79">
        <v>1050</v>
      </c>
      <c r="D8" s="40">
        <v>7</v>
      </c>
      <c r="E8" s="48">
        <v>0.18995929443690601</v>
      </c>
      <c r="F8" s="14" t="s">
        <v>32</v>
      </c>
      <c r="G8" s="48">
        <v>5.4274084124830403E-2</v>
      </c>
      <c r="H8" s="13">
        <v>113</v>
      </c>
      <c r="I8" s="48">
        <v>3.0664857530529201</v>
      </c>
      <c r="J8" s="13">
        <v>509</v>
      </c>
      <c r="K8" s="48">
        <v>13.812754409769299</v>
      </c>
      <c r="L8" s="51">
        <v>368</v>
      </c>
      <c r="M8" s="48">
        <v>9.9864314789687896</v>
      </c>
      <c r="N8" s="13">
        <v>0</v>
      </c>
      <c r="O8" s="48">
        <v>0</v>
      </c>
      <c r="P8" s="51">
        <v>47</v>
      </c>
      <c r="Q8" s="39">
        <v>1.27544097693351</v>
      </c>
      <c r="R8" s="13">
        <v>1046</v>
      </c>
      <c r="S8" s="15">
        <v>99.6</v>
      </c>
      <c r="T8" s="40">
        <v>4</v>
      </c>
      <c r="U8" s="39">
        <v>0.4</v>
      </c>
      <c r="V8" s="79">
        <v>23</v>
      </c>
      <c r="W8" s="15">
        <v>0.61961206896551702</v>
      </c>
      <c r="X8" s="52">
        <v>4221</v>
      </c>
      <c r="Y8" s="53">
        <v>100</v>
      </c>
    </row>
    <row r="9" spans="1:25">
      <c r="A9" t="s">
        <v>29</v>
      </c>
      <c r="B9" t="s">
        <v>36</v>
      </c>
      <c r="C9" s="27">
        <v>784</v>
      </c>
      <c r="D9" s="28">
        <v>6</v>
      </c>
      <c r="E9" s="30">
        <v>0.8</v>
      </c>
      <c r="F9" s="38" t="s">
        <v>31</v>
      </c>
      <c r="G9" s="30">
        <v>0.1</v>
      </c>
      <c r="H9" s="31">
        <v>28</v>
      </c>
      <c r="I9" s="30">
        <v>3.7</v>
      </c>
      <c r="J9" s="31">
        <v>405</v>
      </c>
      <c r="K9" s="30">
        <v>52.9</v>
      </c>
      <c r="L9" s="32">
        <v>285</v>
      </c>
      <c r="M9" s="30">
        <v>37.200000000000003</v>
      </c>
      <c r="N9" s="31">
        <v>0</v>
      </c>
      <c r="O9" s="30">
        <v>0</v>
      </c>
      <c r="P9" s="32">
        <v>41</v>
      </c>
      <c r="Q9" s="29">
        <v>5.4</v>
      </c>
      <c r="R9" s="31">
        <v>766</v>
      </c>
      <c r="S9" s="33">
        <v>97.7</v>
      </c>
      <c r="T9" s="28">
        <v>18</v>
      </c>
      <c r="U9" s="29">
        <v>2.2999999999999998</v>
      </c>
      <c r="V9" s="27" t="s">
        <v>31</v>
      </c>
      <c r="W9" s="33">
        <v>0.3</v>
      </c>
      <c r="X9" s="34">
        <v>4134</v>
      </c>
      <c r="Y9" s="35">
        <v>99.9</v>
      </c>
    </row>
    <row r="10" spans="1:25">
      <c r="A10" t="s">
        <v>20</v>
      </c>
      <c r="B10" t="s">
        <v>36</v>
      </c>
      <c r="C10" s="16">
        <v>816</v>
      </c>
      <c r="D10" s="24">
        <v>0</v>
      </c>
      <c r="E10" s="18">
        <v>0</v>
      </c>
      <c r="F10" s="19">
        <v>2</v>
      </c>
      <c r="G10" s="18">
        <v>0.25740000000000002</v>
      </c>
      <c r="H10" s="19">
        <v>103</v>
      </c>
      <c r="I10" s="18">
        <v>13.2561</v>
      </c>
      <c r="J10" s="19">
        <v>444</v>
      </c>
      <c r="K10" s="18">
        <v>57.142899999999997</v>
      </c>
      <c r="L10" s="20">
        <v>197</v>
      </c>
      <c r="M10" s="18">
        <v>25.353899999999999</v>
      </c>
      <c r="N10" s="19">
        <v>0</v>
      </c>
      <c r="O10" s="18">
        <v>0</v>
      </c>
      <c r="P10" s="21">
        <v>31</v>
      </c>
      <c r="Q10" s="22">
        <v>3.9897</v>
      </c>
      <c r="R10" s="24">
        <v>777</v>
      </c>
      <c r="S10" s="22">
        <v>95.2</v>
      </c>
      <c r="T10" s="17">
        <v>39</v>
      </c>
      <c r="U10" s="22">
        <v>4.7793999999999999</v>
      </c>
      <c r="V10" s="92">
        <v>18</v>
      </c>
      <c r="W10" s="23">
        <v>2.2059000000000002</v>
      </c>
      <c r="X10" s="25">
        <v>4081</v>
      </c>
      <c r="Y10" s="26">
        <v>99.706000000000003</v>
      </c>
    </row>
    <row r="11" spans="1:25">
      <c r="A11" t="s">
        <v>19</v>
      </c>
      <c r="B11" t="s">
        <v>36</v>
      </c>
      <c r="C11" s="24">
        <v>599</v>
      </c>
      <c r="D11" s="24">
        <v>1</v>
      </c>
      <c r="E11" s="18">
        <v>0.16950000000000001</v>
      </c>
      <c r="F11" s="19">
        <v>5</v>
      </c>
      <c r="G11" s="18">
        <v>0.84750000000000003</v>
      </c>
      <c r="H11" s="19">
        <v>85</v>
      </c>
      <c r="I11" s="18">
        <v>14.4068</v>
      </c>
      <c r="J11" s="19">
        <v>305</v>
      </c>
      <c r="K11" s="18">
        <v>51.694899999999997</v>
      </c>
      <c r="L11" s="20">
        <v>153</v>
      </c>
      <c r="M11" s="18">
        <v>25.931999999999999</v>
      </c>
      <c r="N11" s="19">
        <v>0</v>
      </c>
      <c r="O11" s="18">
        <v>0</v>
      </c>
      <c r="P11" s="21">
        <v>41</v>
      </c>
      <c r="Q11" s="22">
        <v>6.9492000000000003</v>
      </c>
      <c r="R11" s="24">
        <v>590</v>
      </c>
      <c r="S11" s="22">
        <v>98.5</v>
      </c>
      <c r="T11" s="17">
        <v>9</v>
      </c>
      <c r="U11" s="22">
        <v>1.5024999999999999</v>
      </c>
      <c r="V11" s="92">
        <v>18</v>
      </c>
      <c r="W11" s="23">
        <v>3.0049999999999999</v>
      </c>
      <c r="X11" s="25">
        <v>4145</v>
      </c>
      <c r="Y11" s="26">
        <v>100</v>
      </c>
    </row>
    <row r="12" spans="1:25">
      <c r="A12" t="s">
        <v>34</v>
      </c>
      <c r="B12" t="s">
        <v>36</v>
      </c>
      <c r="C12">
        <v>124</v>
      </c>
      <c r="D12" s="54">
        <v>0</v>
      </c>
      <c r="E12" s="55">
        <v>0</v>
      </c>
      <c r="F12">
        <v>1</v>
      </c>
      <c r="G12">
        <v>0.8</v>
      </c>
      <c r="H12">
        <v>7</v>
      </c>
      <c r="I12">
        <v>5.6</v>
      </c>
      <c r="J12">
        <v>21</v>
      </c>
      <c r="K12">
        <v>16.899999999999999</v>
      </c>
      <c r="L12">
        <v>82</v>
      </c>
      <c r="M12">
        <v>66.099999999999994</v>
      </c>
      <c r="N12" s="19">
        <v>0</v>
      </c>
      <c r="O12" s="55">
        <v>0</v>
      </c>
      <c r="P12">
        <v>12</v>
      </c>
      <c r="Q12">
        <v>9.6999999999999993</v>
      </c>
      <c r="R12">
        <v>123</v>
      </c>
      <c r="S12">
        <v>99.2</v>
      </c>
      <c r="T12" s="54">
        <v>1</v>
      </c>
      <c r="U12">
        <v>0.8</v>
      </c>
      <c r="V12">
        <v>5</v>
      </c>
      <c r="W12">
        <v>4</v>
      </c>
      <c r="X12" s="54">
        <v>3366</v>
      </c>
      <c r="Y12" s="55">
        <v>82.74</v>
      </c>
    </row>
    <row r="14" spans="1:25">
      <c r="C14" s="13"/>
      <c r="D14" s="56"/>
      <c r="E14" s="57"/>
      <c r="F14" s="56"/>
      <c r="G14" s="57"/>
      <c r="H14" s="56"/>
      <c r="I14" s="57"/>
      <c r="J14" s="56"/>
      <c r="K14" s="57"/>
      <c r="L14" s="56"/>
      <c r="M14" s="57"/>
      <c r="N14" s="56"/>
      <c r="O14" s="57"/>
      <c r="P14" s="56"/>
      <c r="Q14" s="57"/>
      <c r="R14" s="56"/>
      <c r="S14" s="57"/>
    </row>
    <row r="15" spans="1:25">
      <c r="C15" s="13"/>
      <c r="D15" s="56"/>
      <c r="E15" s="57"/>
      <c r="F15" s="56"/>
      <c r="G15" s="57"/>
      <c r="H15" s="56"/>
      <c r="I15" s="57"/>
      <c r="J15" s="56"/>
      <c r="K15" s="57"/>
      <c r="L15" s="56"/>
      <c r="M15" s="57"/>
      <c r="N15" s="56"/>
      <c r="O15" s="57"/>
      <c r="P15" s="56"/>
      <c r="Q15" s="57"/>
      <c r="R15" s="56"/>
      <c r="S15" s="57"/>
    </row>
    <row r="16" spans="1:25" ht="17" thickBot="1"/>
    <row r="17" spans="1:25" s="2" customFormat="1" ht="25.25" customHeight="1">
      <c r="A17" s="12" t="s">
        <v>18</v>
      </c>
      <c r="B17" s="259" t="s">
        <v>0</v>
      </c>
      <c r="C17" s="261" t="s">
        <v>1</v>
      </c>
      <c r="D17" s="263" t="s">
        <v>2</v>
      </c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5"/>
      <c r="R17" s="243" t="s">
        <v>37</v>
      </c>
      <c r="S17" s="244"/>
      <c r="T17" s="243" t="s">
        <v>4</v>
      </c>
      <c r="U17" s="244"/>
      <c r="V17" s="243" t="s">
        <v>5</v>
      </c>
      <c r="W17" s="244"/>
      <c r="X17" s="252" t="s">
        <v>6</v>
      </c>
      <c r="Y17" s="254" t="s">
        <v>7</v>
      </c>
    </row>
    <row r="18" spans="1:25" s="2" customFormat="1" ht="25.25" customHeight="1">
      <c r="A18" s="1"/>
      <c r="B18" s="260"/>
      <c r="C18" s="262"/>
      <c r="D18" s="256" t="s">
        <v>8</v>
      </c>
      <c r="E18" s="248"/>
      <c r="F18" s="257" t="s">
        <v>9</v>
      </c>
      <c r="G18" s="248"/>
      <c r="H18" s="247" t="s">
        <v>10</v>
      </c>
      <c r="I18" s="248"/>
      <c r="J18" s="247" t="s">
        <v>11</v>
      </c>
      <c r="K18" s="248"/>
      <c r="L18" s="247" t="s">
        <v>12</v>
      </c>
      <c r="M18" s="248"/>
      <c r="N18" s="247" t="s">
        <v>13</v>
      </c>
      <c r="O18" s="248"/>
      <c r="P18" s="247" t="s">
        <v>14</v>
      </c>
      <c r="Q18" s="258"/>
      <c r="R18" s="245"/>
      <c r="S18" s="246"/>
      <c r="T18" s="245"/>
      <c r="U18" s="246"/>
      <c r="V18" s="245"/>
      <c r="W18" s="246"/>
      <c r="X18" s="253"/>
      <c r="Y18" s="255"/>
    </row>
    <row r="19" spans="1:25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5" t="s">
        <v>15</v>
      </c>
      <c r="S19" s="9" t="s">
        <v>17</v>
      </c>
      <c r="T19" s="5" t="s">
        <v>15</v>
      </c>
      <c r="U19" s="9" t="s">
        <v>17</v>
      </c>
      <c r="V19" s="7" t="s">
        <v>15</v>
      </c>
      <c r="W19" s="9" t="s">
        <v>17</v>
      </c>
      <c r="X19" s="10"/>
      <c r="Y19" s="11"/>
    </row>
    <row r="20" spans="1:25">
      <c r="A20" t="s">
        <v>33</v>
      </c>
      <c r="B20" t="s">
        <v>38</v>
      </c>
      <c r="C20" s="65">
        <v>32047</v>
      </c>
      <c r="D20">
        <v>588</v>
      </c>
      <c r="E20">
        <v>1.8</v>
      </c>
      <c r="F20">
        <v>2433</v>
      </c>
      <c r="G20">
        <v>7.6</v>
      </c>
      <c r="H20" s="54">
        <v>5712</v>
      </c>
      <c r="I20">
        <v>17.8</v>
      </c>
      <c r="J20" s="54">
        <v>11923</v>
      </c>
      <c r="K20">
        <v>37.200000000000003</v>
      </c>
      <c r="L20" s="54">
        <v>12067</v>
      </c>
      <c r="M20">
        <v>37.700000000000003</v>
      </c>
      <c r="N20" t="s">
        <v>35</v>
      </c>
      <c r="O20" s="109" t="s">
        <v>35</v>
      </c>
      <c r="P20" s="91" t="s">
        <v>35</v>
      </c>
      <c r="Q20" s="85" t="s">
        <v>35</v>
      </c>
      <c r="R20">
        <v>31944</v>
      </c>
      <c r="S20">
        <v>99.7</v>
      </c>
      <c r="T20" s="65">
        <v>103</v>
      </c>
      <c r="U20">
        <v>0.3</v>
      </c>
      <c r="V20">
        <v>1376</v>
      </c>
      <c r="W20">
        <v>4.3</v>
      </c>
    </row>
    <row r="21" spans="1:25">
      <c r="A21" t="s">
        <v>30</v>
      </c>
      <c r="B21" t="s">
        <v>38</v>
      </c>
      <c r="C21" s="13">
        <v>27735</v>
      </c>
      <c r="D21" s="13">
        <v>698</v>
      </c>
      <c r="E21" s="15">
        <v>0.63712290630277002</v>
      </c>
      <c r="F21" s="13">
        <v>209</v>
      </c>
      <c r="G21" s="15">
        <v>0.19077175847747699</v>
      </c>
      <c r="H21" s="13">
        <v>5188</v>
      </c>
      <c r="I21" s="15">
        <v>4.7355209712016801</v>
      </c>
      <c r="J21" s="13">
        <v>11458</v>
      </c>
      <c r="K21" s="15">
        <v>10.458673725525999</v>
      </c>
      <c r="L21" s="13">
        <v>9066</v>
      </c>
      <c r="M21" s="15">
        <v>8.2752955136689295</v>
      </c>
      <c r="N21" s="13">
        <v>69</v>
      </c>
      <c r="O21" s="15">
        <v>6.2982063803568994E-2</v>
      </c>
      <c r="P21" s="13">
        <v>789</v>
      </c>
      <c r="Q21" s="15">
        <v>0.720186207840811</v>
      </c>
      <c r="R21" s="13">
        <v>27477</v>
      </c>
      <c r="S21" s="15">
        <v>24.7500405339675</v>
      </c>
      <c r="T21" s="13">
        <v>258</v>
      </c>
      <c r="U21" s="15">
        <v>0.23239474679781699</v>
      </c>
      <c r="V21" s="13">
        <v>1028</v>
      </c>
      <c r="W21" s="15">
        <v>0.92597596786106795</v>
      </c>
      <c r="X21" s="163">
        <v>95635</v>
      </c>
      <c r="Y21" s="45">
        <v>99.872431641135606</v>
      </c>
    </row>
    <row r="22" spans="1:25" ht="17" thickBot="1">
      <c r="A22" t="s">
        <v>29</v>
      </c>
      <c r="B22" t="s">
        <v>38</v>
      </c>
      <c r="C22" s="31">
        <v>28428</v>
      </c>
      <c r="D22" s="31">
        <v>601</v>
      </c>
      <c r="E22" s="33">
        <v>2.2000000000000002</v>
      </c>
      <c r="F22" s="31">
        <v>125</v>
      </c>
      <c r="G22" s="33">
        <v>0.4</v>
      </c>
      <c r="H22" s="31">
        <v>4103</v>
      </c>
      <c r="I22" s="33">
        <v>14.7</v>
      </c>
      <c r="J22" s="31">
        <v>9833</v>
      </c>
      <c r="K22" s="33">
        <v>35.200000000000003</v>
      </c>
      <c r="L22" s="31">
        <v>11804</v>
      </c>
      <c r="M22" s="33">
        <v>42.3</v>
      </c>
      <c r="N22" s="31">
        <v>74</v>
      </c>
      <c r="O22" s="33">
        <v>0.3</v>
      </c>
      <c r="P22" s="31">
        <v>1389</v>
      </c>
      <c r="Q22" s="33">
        <v>5</v>
      </c>
      <c r="R22" s="31">
        <v>27929</v>
      </c>
      <c r="S22" s="33">
        <v>98.2</v>
      </c>
      <c r="T22" s="31">
        <v>499</v>
      </c>
      <c r="U22" s="33">
        <v>1.8</v>
      </c>
      <c r="V22" s="31">
        <v>1039</v>
      </c>
      <c r="W22" s="33">
        <v>3.7</v>
      </c>
      <c r="X22" s="161">
        <v>95507</v>
      </c>
      <c r="Y22" s="143">
        <v>99.7</v>
      </c>
    </row>
    <row r="23" spans="1:25" ht="17" thickBot="1">
      <c r="A23" t="s">
        <v>20</v>
      </c>
      <c r="B23" t="s">
        <v>38</v>
      </c>
      <c r="C23" s="16">
        <v>27110</v>
      </c>
      <c r="D23" s="66">
        <v>474</v>
      </c>
      <c r="E23" s="18">
        <v>1.7925</v>
      </c>
      <c r="F23" s="19">
        <v>219</v>
      </c>
      <c r="G23" s="18">
        <v>0.82820000000000005</v>
      </c>
      <c r="H23" s="19">
        <v>5258</v>
      </c>
      <c r="I23" s="18">
        <v>19.8843</v>
      </c>
      <c r="J23" s="20">
        <v>10294</v>
      </c>
      <c r="K23" s="18">
        <v>38.929000000000002</v>
      </c>
      <c r="L23" s="67">
        <v>9057</v>
      </c>
      <c r="M23" s="18">
        <v>34.250999999999998</v>
      </c>
      <c r="N23" s="20">
        <v>99</v>
      </c>
      <c r="O23" s="18">
        <v>0.37440000000000001</v>
      </c>
      <c r="P23" s="67">
        <v>1042</v>
      </c>
      <c r="Q23" s="22">
        <v>3.9405999999999999</v>
      </c>
      <c r="R23" s="66">
        <v>26443</v>
      </c>
      <c r="S23" s="22">
        <v>97.5</v>
      </c>
      <c r="T23" s="24">
        <v>667</v>
      </c>
      <c r="U23" s="22">
        <v>2.4603000000000002</v>
      </c>
      <c r="V23" s="46">
        <v>1168</v>
      </c>
      <c r="W23" s="23">
        <v>4.3083999999999998</v>
      </c>
      <c r="X23" s="25">
        <v>96360</v>
      </c>
      <c r="Y23" s="26">
        <v>99.984999999999999</v>
      </c>
    </row>
    <row r="24" spans="1:25" ht="17" thickBot="1">
      <c r="A24" t="s">
        <v>19</v>
      </c>
      <c r="B24" t="s">
        <v>38</v>
      </c>
      <c r="C24" s="16">
        <v>27710</v>
      </c>
      <c r="D24" s="66">
        <v>320</v>
      </c>
      <c r="E24" s="18">
        <v>1.1871</v>
      </c>
      <c r="F24" s="19">
        <v>166</v>
      </c>
      <c r="G24" s="18">
        <v>0.61580000000000001</v>
      </c>
      <c r="H24" s="19">
        <v>5517</v>
      </c>
      <c r="I24" s="18">
        <v>20.465900000000001</v>
      </c>
      <c r="J24" s="20">
        <v>11570</v>
      </c>
      <c r="K24" s="18">
        <v>42.920200000000001</v>
      </c>
      <c r="L24" s="67">
        <v>8231</v>
      </c>
      <c r="M24" s="18">
        <v>30.533999999999999</v>
      </c>
      <c r="N24" s="20">
        <v>57</v>
      </c>
      <c r="O24" s="18">
        <v>0.2114</v>
      </c>
      <c r="P24" s="67">
        <v>1096</v>
      </c>
      <c r="Q24" s="22">
        <v>4.0656999999999996</v>
      </c>
      <c r="R24" s="66">
        <v>26957</v>
      </c>
      <c r="S24" s="22">
        <v>97.3</v>
      </c>
      <c r="T24" s="24">
        <v>753</v>
      </c>
      <c r="U24" s="22">
        <v>2.7174</v>
      </c>
      <c r="V24" s="46">
        <v>1222</v>
      </c>
      <c r="W24" s="23">
        <v>4.41</v>
      </c>
      <c r="X24" s="25">
        <v>97632</v>
      </c>
      <c r="Y24" s="26">
        <v>99.988</v>
      </c>
    </row>
    <row r="25" spans="1:25">
      <c r="A25" t="s">
        <v>34</v>
      </c>
      <c r="B25" t="s">
        <v>38</v>
      </c>
      <c r="C25" s="88">
        <v>8649</v>
      </c>
      <c r="D25" s="84">
        <v>76</v>
      </c>
      <c r="E25" s="109">
        <v>0.9</v>
      </c>
      <c r="F25">
        <v>55</v>
      </c>
      <c r="G25" s="109">
        <v>0.6</v>
      </c>
      <c r="H25">
        <v>1721</v>
      </c>
      <c r="I25" s="109">
        <v>19.899999999999999</v>
      </c>
      <c r="J25">
        <v>2289</v>
      </c>
      <c r="K25" s="109">
        <v>26.5</v>
      </c>
      <c r="L25">
        <v>3762</v>
      </c>
      <c r="M25" s="109">
        <v>43.5</v>
      </c>
      <c r="N25">
        <v>24</v>
      </c>
      <c r="O25" s="109">
        <v>0.3</v>
      </c>
      <c r="P25" s="91">
        <v>483</v>
      </c>
      <c r="Q25" s="85">
        <v>5.6</v>
      </c>
      <c r="R25" s="147">
        <v>8410</v>
      </c>
      <c r="S25" s="85">
        <v>97.2</v>
      </c>
      <c r="T25" s="146">
        <v>239</v>
      </c>
      <c r="U25" s="166">
        <v>2.8</v>
      </c>
      <c r="V25" s="147">
        <v>426</v>
      </c>
      <c r="X25" s="136">
        <v>84270</v>
      </c>
      <c r="Y25" s="137">
        <v>88.15</v>
      </c>
    </row>
    <row r="26" spans="1:25">
      <c r="A26">
        <v>2023</v>
      </c>
      <c r="B26" t="s">
        <v>38</v>
      </c>
      <c r="C26" s="84"/>
      <c r="D26" s="84"/>
      <c r="E26" s="109"/>
      <c r="G26" s="109"/>
      <c r="I26" s="109"/>
      <c r="K26" s="109"/>
      <c r="M26" s="109"/>
      <c r="O26" s="109"/>
      <c r="P26" s="91"/>
      <c r="Q26" s="85"/>
      <c r="R26" s="84"/>
      <c r="S26" s="85"/>
      <c r="T26" s="84"/>
      <c r="U26" s="85"/>
      <c r="V26" s="84"/>
      <c r="X26" s="88"/>
      <c r="Y26" s="91"/>
    </row>
    <row r="27" spans="1:25">
      <c r="A27">
        <v>2024</v>
      </c>
      <c r="B27" t="s">
        <v>38</v>
      </c>
    </row>
    <row r="29" spans="1:25">
      <c r="D29" t="s">
        <v>35</v>
      </c>
      <c r="F29" t="s">
        <v>35</v>
      </c>
    </row>
    <row r="30" spans="1:25">
      <c r="D30" t="s">
        <v>48</v>
      </c>
      <c r="V30" s="65"/>
    </row>
    <row r="31" spans="1:25">
      <c r="C31" s="65"/>
      <c r="D31" s="70"/>
      <c r="E31" s="70" t="s">
        <v>40</v>
      </c>
      <c r="F31" s="75" t="s">
        <v>9</v>
      </c>
      <c r="G31" s="75" t="s">
        <v>44</v>
      </c>
      <c r="H31" s="75" t="s">
        <v>41</v>
      </c>
      <c r="I31" s="75" t="s">
        <v>12</v>
      </c>
      <c r="J31" t="s">
        <v>45</v>
      </c>
      <c r="K31" t="s">
        <v>14</v>
      </c>
      <c r="L31" t="s">
        <v>42</v>
      </c>
      <c r="M31" s="55"/>
      <c r="N31" s="54"/>
      <c r="O31" s="55"/>
      <c r="P31" s="54"/>
      <c r="Q31" s="55"/>
      <c r="R31" s="54"/>
      <c r="S31" s="55"/>
      <c r="T31" s="54"/>
      <c r="U31" s="55"/>
    </row>
    <row r="32" spans="1:25">
      <c r="D32" t="s">
        <v>33</v>
      </c>
      <c r="E32" s="15"/>
      <c r="F32" s="15"/>
      <c r="G32" s="15"/>
      <c r="H32" s="15"/>
      <c r="I32" s="15"/>
      <c r="J32" s="15"/>
      <c r="K32" s="15"/>
      <c r="L32">
        <v>16.7</v>
      </c>
      <c r="M32" s="55"/>
      <c r="N32" s="54"/>
      <c r="O32" s="55"/>
      <c r="P32" s="54"/>
      <c r="Q32" s="55"/>
      <c r="R32" s="54"/>
      <c r="S32" s="55"/>
      <c r="T32" s="54"/>
      <c r="U32" s="55"/>
    </row>
    <row r="33" spans="3:21">
      <c r="C33" s="70"/>
      <c r="D33" t="s">
        <v>30</v>
      </c>
      <c r="E33" s="48">
        <v>0.18995929443690601</v>
      </c>
      <c r="F33" s="48">
        <v>5.4274084124830403E-2</v>
      </c>
      <c r="G33" s="48">
        <v>3.0664857530529201</v>
      </c>
      <c r="H33" s="48">
        <v>13.812754409769299</v>
      </c>
      <c r="I33" s="48">
        <v>9.9864314789687896</v>
      </c>
      <c r="J33" s="48">
        <v>0</v>
      </c>
      <c r="K33" s="39">
        <v>1.27544097693351</v>
      </c>
      <c r="L33" s="15">
        <v>25.9</v>
      </c>
      <c r="M33" s="70"/>
      <c r="N33" s="70"/>
      <c r="O33" s="70"/>
      <c r="P33" s="70"/>
      <c r="Q33" s="70"/>
      <c r="R33" s="70"/>
      <c r="S33" s="70"/>
      <c r="T33" s="70"/>
      <c r="U33" s="70"/>
    </row>
    <row r="34" spans="3:21">
      <c r="D34" t="s">
        <v>29</v>
      </c>
      <c r="E34" s="30">
        <v>0.8</v>
      </c>
      <c r="F34" s="30">
        <v>0.1</v>
      </c>
      <c r="G34" s="30">
        <v>3.7</v>
      </c>
      <c r="H34" s="30">
        <v>52.9</v>
      </c>
      <c r="I34" s="30">
        <v>37.200000000000003</v>
      </c>
      <c r="J34" s="30">
        <v>0</v>
      </c>
      <c r="K34" s="29">
        <v>5.4</v>
      </c>
      <c r="L34" s="33">
        <v>19.399999999999999</v>
      </c>
    </row>
    <row r="35" spans="3:21">
      <c r="D35" t="s">
        <v>20</v>
      </c>
      <c r="E35" s="18">
        <v>0</v>
      </c>
      <c r="F35" s="18">
        <v>0.25740000000000002</v>
      </c>
      <c r="G35" s="18">
        <v>13.2561</v>
      </c>
      <c r="H35" s="18">
        <v>57.142899999999997</v>
      </c>
      <c r="I35" s="18">
        <v>25.353899999999999</v>
      </c>
      <c r="J35" s="18">
        <v>0</v>
      </c>
      <c r="K35" s="22">
        <v>3.9897</v>
      </c>
      <c r="L35" s="23">
        <v>20.100000000000001</v>
      </c>
    </row>
    <row r="36" spans="3:21">
      <c r="D36" t="s">
        <v>19</v>
      </c>
      <c r="E36" s="18">
        <v>0.16950000000000001</v>
      </c>
      <c r="F36" s="18">
        <v>0.84750000000000003</v>
      </c>
      <c r="G36" s="18">
        <v>14.4068</v>
      </c>
      <c r="H36" s="18">
        <v>51.694899999999997</v>
      </c>
      <c r="I36" s="18">
        <v>25.931999999999999</v>
      </c>
      <c r="J36" s="18">
        <v>0</v>
      </c>
      <c r="K36" s="22">
        <v>6.9492000000000003</v>
      </c>
      <c r="L36" s="23">
        <v>14.8</v>
      </c>
    </row>
    <row r="37" spans="3:21">
      <c r="D37" t="s">
        <v>34</v>
      </c>
      <c r="E37" s="55">
        <v>0</v>
      </c>
      <c r="F37">
        <v>0.8</v>
      </c>
      <c r="G37">
        <v>5.6</v>
      </c>
      <c r="H37">
        <v>16.899999999999999</v>
      </c>
      <c r="I37">
        <v>66.099999999999994</v>
      </c>
      <c r="J37" s="55">
        <v>0</v>
      </c>
      <c r="K37">
        <v>9.6999999999999993</v>
      </c>
      <c r="L37">
        <v>3</v>
      </c>
    </row>
    <row r="39" spans="3:21" ht="17" thickBot="1"/>
    <row r="40" spans="3:21" ht="57">
      <c r="D40" t="s">
        <v>18</v>
      </c>
      <c r="E40" s="71" t="s">
        <v>70</v>
      </c>
      <c r="F40" s="71" t="s">
        <v>71</v>
      </c>
      <c r="G40" s="177" t="s">
        <v>59</v>
      </c>
      <c r="J40" t="s">
        <v>18</v>
      </c>
      <c r="K40" s="71" t="s">
        <v>77</v>
      </c>
      <c r="L40" s="71" t="s">
        <v>82</v>
      </c>
      <c r="M40" s="177" t="s">
        <v>83</v>
      </c>
    </row>
    <row r="41" spans="3:21">
      <c r="D41" t="s">
        <v>33</v>
      </c>
      <c r="E41" s="13">
        <v>678</v>
      </c>
      <c r="F41" s="65">
        <v>32047</v>
      </c>
      <c r="G41" s="178">
        <v>2.1000000000000001E-2</v>
      </c>
      <c r="J41" t="s">
        <v>33</v>
      </c>
      <c r="K41" s="184">
        <v>2.1000000000000001E-2</v>
      </c>
      <c r="L41" s="184">
        <v>1.7999999999999999E-2</v>
      </c>
      <c r="M41" s="184">
        <v>2.1999999999999999E-2</v>
      </c>
    </row>
    <row r="42" spans="3:21">
      <c r="D42" t="s">
        <v>30</v>
      </c>
      <c r="E42" s="79">
        <v>1050</v>
      </c>
      <c r="F42" s="13">
        <v>27735</v>
      </c>
      <c r="G42" s="178">
        <v>3.7999999999999999E-2</v>
      </c>
      <c r="J42" t="s">
        <v>30</v>
      </c>
      <c r="K42" s="184">
        <v>3.7999999999999999E-2</v>
      </c>
      <c r="L42" s="184">
        <v>3.1E-2</v>
      </c>
      <c r="M42" s="184">
        <v>3.9E-2</v>
      </c>
    </row>
    <row r="43" spans="3:21">
      <c r="D43" t="s">
        <v>29</v>
      </c>
      <c r="E43" s="27">
        <v>784</v>
      </c>
      <c r="F43" s="31">
        <v>28428</v>
      </c>
      <c r="G43" s="178">
        <v>2.8000000000000001E-2</v>
      </c>
      <c r="J43" t="s">
        <v>29</v>
      </c>
      <c r="K43" s="184">
        <v>2.8000000000000001E-2</v>
      </c>
      <c r="L43" s="184">
        <v>2.1999999999999999E-2</v>
      </c>
      <c r="M43" s="184">
        <v>2.9000000000000001E-2</v>
      </c>
    </row>
    <row r="44" spans="3:21">
      <c r="D44" t="s">
        <v>20</v>
      </c>
      <c r="E44" s="16">
        <v>816</v>
      </c>
      <c r="F44" s="16">
        <v>27110</v>
      </c>
      <c r="G44" s="178">
        <v>0.03</v>
      </c>
      <c r="J44" t="s">
        <v>20</v>
      </c>
      <c r="K44" s="184">
        <v>0.03</v>
      </c>
      <c r="L44" s="184">
        <v>3.1E-2</v>
      </c>
      <c r="M44" s="184">
        <v>0.03</v>
      </c>
    </row>
    <row r="45" spans="3:21">
      <c r="D45" t="s">
        <v>19</v>
      </c>
      <c r="E45" s="24">
        <v>599</v>
      </c>
      <c r="F45" s="16">
        <v>27710</v>
      </c>
      <c r="G45" s="178">
        <v>2.1999999999999999E-2</v>
      </c>
      <c r="J45" t="s">
        <v>19</v>
      </c>
      <c r="K45" s="184">
        <v>2.1999999999999999E-2</v>
      </c>
      <c r="L45" s="184">
        <v>2.1000000000000001E-2</v>
      </c>
      <c r="M45" s="184">
        <v>2.1999999999999999E-2</v>
      </c>
    </row>
    <row r="46" spans="3:21">
      <c r="D46" t="s">
        <v>34</v>
      </c>
      <c r="E46">
        <v>124</v>
      </c>
      <c r="F46" s="88">
        <v>8649</v>
      </c>
      <c r="G46" s="178">
        <v>1.4E-2</v>
      </c>
      <c r="J46" t="s">
        <v>34</v>
      </c>
      <c r="K46" s="184">
        <v>1.4E-2</v>
      </c>
      <c r="L46" s="184">
        <v>0.01</v>
      </c>
      <c r="M46" s="184">
        <v>1.4999999999999999E-2</v>
      </c>
    </row>
    <row r="47" spans="3:21">
      <c r="K47" s="178"/>
    </row>
    <row r="48" spans="3:21">
      <c r="L48" s="178"/>
    </row>
    <row r="49" spans="12:12">
      <c r="L49" s="178"/>
    </row>
    <row r="50" spans="12:12">
      <c r="L50" s="178"/>
    </row>
    <row r="51" spans="12:12">
      <c r="L51" s="178"/>
    </row>
    <row r="52" spans="12:12">
      <c r="L52" s="178"/>
    </row>
  </sheetData>
  <sortState xmlns:xlrd2="http://schemas.microsoft.com/office/spreadsheetml/2017/richdata2" ref="A19:Z27">
    <sortCondition descending="1" ref="Z19:Z27"/>
  </sortState>
  <mergeCells count="30">
    <mergeCell ref="B4:B5"/>
    <mergeCell ref="C4:C5"/>
    <mergeCell ref="D4:Q4"/>
    <mergeCell ref="T4:U5"/>
    <mergeCell ref="R4:S5"/>
    <mergeCell ref="X4:X5"/>
    <mergeCell ref="Y4:Y5"/>
    <mergeCell ref="D5:E5"/>
    <mergeCell ref="F5:G5"/>
    <mergeCell ref="H5:I5"/>
    <mergeCell ref="J5:K5"/>
    <mergeCell ref="L5:M5"/>
    <mergeCell ref="N5:O5"/>
    <mergeCell ref="P5:Q5"/>
    <mergeCell ref="V4:W5"/>
    <mergeCell ref="B17:B18"/>
    <mergeCell ref="C17:C18"/>
    <mergeCell ref="D17:Q17"/>
    <mergeCell ref="R17:S18"/>
    <mergeCell ref="T17:U18"/>
    <mergeCell ref="V17:W18"/>
    <mergeCell ref="X17:X18"/>
    <mergeCell ref="Y17:Y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Z109"/>
  <sheetViews>
    <sheetView workbookViewId="0">
      <selection activeCell="D8" sqref="D8:D12"/>
    </sheetView>
  </sheetViews>
  <sheetFormatPr baseColWidth="10" defaultColWidth="10.83203125" defaultRowHeight="16"/>
  <sheetData>
    <row r="3" spans="1:26" ht="17" thickBot="1"/>
    <row r="4" spans="1:26" s="2" customFormat="1" ht="25" customHeight="1">
      <c r="A4" s="1"/>
      <c r="B4" s="259" t="s">
        <v>0</v>
      </c>
      <c r="C4" s="261" t="s">
        <v>21</v>
      </c>
      <c r="D4" s="243" t="s">
        <v>4</v>
      </c>
      <c r="E4" s="244"/>
      <c r="F4" s="243" t="s">
        <v>3</v>
      </c>
      <c r="G4" s="244"/>
      <c r="H4" s="263" t="s">
        <v>22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5"/>
      <c r="V4" s="243" t="s">
        <v>23</v>
      </c>
      <c r="W4" s="244"/>
      <c r="X4" s="252" t="s">
        <v>6</v>
      </c>
      <c r="Y4" s="254" t="s">
        <v>7</v>
      </c>
    </row>
    <row r="5" spans="1:26" s="2" customFormat="1" ht="25" customHeight="1">
      <c r="A5" s="1"/>
      <c r="B5" s="260"/>
      <c r="C5" s="262"/>
      <c r="D5" s="245"/>
      <c r="E5" s="246"/>
      <c r="F5" s="245"/>
      <c r="G5" s="246"/>
      <c r="H5" s="256" t="s">
        <v>8</v>
      </c>
      <c r="I5" s="248"/>
      <c r="J5" s="257" t="s">
        <v>9</v>
      </c>
      <c r="K5" s="248"/>
      <c r="L5" s="247" t="s">
        <v>10</v>
      </c>
      <c r="M5" s="248"/>
      <c r="N5" s="247" t="s">
        <v>11</v>
      </c>
      <c r="O5" s="248"/>
      <c r="P5" s="247" t="s">
        <v>12</v>
      </c>
      <c r="Q5" s="248"/>
      <c r="R5" s="247" t="s">
        <v>13</v>
      </c>
      <c r="S5" s="248"/>
      <c r="T5" s="247" t="s">
        <v>14</v>
      </c>
      <c r="U5" s="258"/>
      <c r="V5" s="245"/>
      <c r="W5" s="246"/>
      <c r="X5" s="253"/>
      <c r="Y5" s="255"/>
    </row>
    <row r="6" spans="1:26">
      <c r="A6" s="1"/>
      <c r="B6" s="78"/>
      <c r="C6" s="80"/>
      <c r="D6" s="80" t="s">
        <v>15</v>
      </c>
      <c r="E6" s="80" t="s">
        <v>28</v>
      </c>
      <c r="F6" s="80" t="s">
        <v>15</v>
      </c>
      <c r="G6" s="80" t="s">
        <v>28</v>
      </c>
      <c r="H6" s="80" t="s">
        <v>15</v>
      </c>
      <c r="I6" s="81" t="s">
        <v>16</v>
      </c>
      <c r="J6" s="80" t="s">
        <v>15</v>
      </c>
      <c r="K6" s="81" t="s">
        <v>16</v>
      </c>
      <c r="L6" s="80" t="s">
        <v>15</v>
      </c>
      <c r="M6" s="81" t="s">
        <v>16</v>
      </c>
      <c r="N6" s="80" t="s">
        <v>15</v>
      </c>
      <c r="O6" s="81" t="s">
        <v>16</v>
      </c>
      <c r="P6" s="80" t="s">
        <v>15</v>
      </c>
      <c r="Q6" s="81" t="s">
        <v>16</v>
      </c>
      <c r="R6" s="80" t="s">
        <v>15</v>
      </c>
      <c r="S6" s="81" t="s">
        <v>16</v>
      </c>
      <c r="T6" s="80" t="s">
        <v>15</v>
      </c>
      <c r="U6" s="81" t="s">
        <v>16</v>
      </c>
      <c r="V6" s="80" t="s">
        <v>15</v>
      </c>
      <c r="W6" s="80" t="s">
        <v>28</v>
      </c>
      <c r="X6" s="89"/>
      <c r="Y6" s="89"/>
      <c r="Z6" s="2"/>
    </row>
    <row r="7" spans="1:26" ht="17" thickBot="1">
      <c r="A7" t="s">
        <v>33</v>
      </c>
      <c r="B7" s="77" t="s">
        <v>36</v>
      </c>
      <c r="C7" s="101">
        <v>462</v>
      </c>
      <c r="D7" s="83">
        <f>SUM(P13:P13)</f>
        <v>0</v>
      </c>
      <c r="E7" s="77"/>
      <c r="F7" s="83">
        <v>340</v>
      </c>
      <c r="G7" s="105"/>
      <c r="H7" s="83">
        <f>SUM(H13:H13)</f>
        <v>0</v>
      </c>
      <c r="I7" s="107"/>
      <c r="J7" s="82">
        <f>SUM(I13:I13)</f>
        <v>0</v>
      </c>
      <c r="K7" s="107"/>
      <c r="L7" s="82">
        <v>51</v>
      </c>
      <c r="M7" s="107"/>
      <c r="N7" s="82">
        <f>SUM(K13:K13)</f>
        <v>0</v>
      </c>
      <c r="O7" s="107"/>
      <c r="P7" s="82">
        <f>SUM(L13:L13)</f>
        <v>0</v>
      </c>
      <c r="Q7" s="107"/>
      <c r="R7" s="111"/>
      <c r="S7" s="107"/>
      <c r="T7" s="112"/>
      <c r="U7" s="114"/>
      <c r="V7" s="82"/>
      <c r="W7" s="105"/>
      <c r="X7" s="116"/>
      <c r="Y7" s="119"/>
    </row>
    <row r="8" spans="1:26">
      <c r="A8" t="s">
        <v>30</v>
      </c>
      <c r="B8" t="s">
        <v>36</v>
      </c>
      <c r="C8" s="13">
        <v>599</v>
      </c>
      <c r="D8" s="14">
        <v>27</v>
      </c>
      <c r="E8" s="15">
        <v>4.5075125208681097</v>
      </c>
      <c r="F8" s="13">
        <v>572</v>
      </c>
      <c r="G8" s="15">
        <v>95.492487479131896</v>
      </c>
      <c r="H8" s="13">
        <v>7</v>
      </c>
      <c r="I8" s="15">
        <v>1.22377622377622</v>
      </c>
      <c r="J8" s="13">
        <v>0</v>
      </c>
      <c r="K8" s="15">
        <v>0</v>
      </c>
      <c r="L8" s="13">
        <v>65</v>
      </c>
      <c r="M8" s="15">
        <v>11.363636363636401</v>
      </c>
      <c r="N8" s="13">
        <v>219</v>
      </c>
      <c r="O8" s="15">
        <v>38.286713286713301</v>
      </c>
      <c r="P8" s="13">
        <v>258</v>
      </c>
      <c r="Q8" s="15">
        <v>45.1048951048951</v>
      </c>
      <c r="R8" s="13">
        <v>0</v>
      </c>
      <c r="S8" s="15">
        <v>0</v>
      </c>
      <c r="T8" s="14">
        <v>23</v>
      </c>
      <c r="U8" s="15">
        <v>4.0209790209790199</v>
      </c>
      <c r="V8" s="13">
        <v>6</v>
      </c>
      <c r="W8" s="15">
        <v>1.0016694490817999</v>
      </c>
      <c r="X8" s="117">
        <v>4221</v>
      </c>
      <c r="Y8" s="15">
        <v>100</v>
      </c>
      <c r="Z8" s="54"/>
    </row>
    <row r="9" spans="1:26">
      <c r="A9" t="s">
        <v>29</v>
      </c>
      <c r="B9" t="s">
        <v>36</v>
      </c>
      <c r="C9" s="31">
        <v>433</v>
      </c>
      <c r="D9" s="28">
        <v>41</v>
      </c>
      <c r="E9" s="33">
        <v>9.5</v>
      </c>
      <c r="F9" s="28">
        <v>392</v>
      </c>
      <c r="G9" s="33">
        <v>90.5</v>
      </c>
      <c r="H9" s="31">
        <v>0</v>
      </c>
      <c r="I9" s="33">
        <v>0</v>
      </c>
      <c r="J9" s="31">
        <v>4</v>
      </c>
      <c r="K9" s="33" t="s">
        <v>31</v>
      </c>
      <c r="L9" s="31">
        <v>34</v>
      </c>
      <c r="M9" s="33">
        <v>8.6999999999999993</v>
      </c>
      <c r="N9" s="31">
        <v>161</v>
      </c>
      <c r="O9" s="33">
        <v>41.1</v>
      </c>
      <c r="P9" s="31">
        <v>174</v>
      </c>
      <c r="Q9" s="33">
        <v>44.4</v>
      </c>
      <c r="R9" s="31">
        <v>0</v>
      </c>
      <c r="S9" s="33">
        <v>0</v>
      </c>
      <c r="T9" s="31">
        <v>19</v>
      </c>
      <c r="U9" s="33">
        <v>4.8</v>
      </c>
      <c r="V9" s="31">
        <v>16</v>
      </c>
      <c r="W9" s="33">
        <v>3.7</v>
      </c>
      <c r="X9" s="34">
        <v>4134</v>
      </c>
      <c r="Y9" s="35">
        <v>99.9</v>
      </c>
    </row>
    <row r="10" spans="1:26">
      <c r="A10" t="s">
        <v>20</v>
      </c>
      <c r="B10" t="s">
        <v>36</v>
      </c>
      <c r="C10" s="16">
        <v>708</v>
      </c>
      <c r="D10" s="17">
        <v>89</v>
      </c>
      <c r="E10" s="22">
        <v>12.570600000000001</v>
      </c>
      <c r="F10" s="24">
        <v>619</v>
      </c>
      <c r="G10" s="22">
        <v>87.429000000000002</v>
      </c>
      <c r="H10" s="24">
        <v>2</v>
      </c>
      <c r="I10" s="18">
        <v>0.3231</v>
      </c>
      <c r="J10" s="19">
        <v>4</v>
      </c>
      <c r="K10" s="18">
        <v>0.6462</v>
      </c>
      <c r="L10" s="19">
        <v>95</v>
      </c>
      <c r="M10" s="18">
        <v>15.347300000000001</v>
      </c>
      <c r="N10" s="19">
        <v>284</v>
      </c>
      <c r="O10" s="18">
        <v>45.88</v>
      </c>
      <c r="P10" s="21">
        <v>222</v>
      </c>
      <c r="Q10" s="18">
        <v>35.863999999999997</v>
      </c>
      <c r="R10" s="19">
        <v>0</v>
      </c>
      <c r="S10" s="18">
        <v>0</v>
      </c>
      <c r="T10" s="21">
        <v>12</v>
      </c>
      <c r="U10" s="22">
        <v>1.9386000000000001</v>
      </c>
      <c r="V10" s="46">
        <v>38</v>
      </c>
      <c r="W10" s="23">
        <v>5.3672000000000004</v>
      </c>
      <c r="X10" s="25">
        <v>4081</v>
      </c>
      <c r="Y10" s="26">
        <v>100</v>
      </c>
      <c r="Z10" s="54"/>
    </row>
    <row r="11" spans="1:26">
      <c r="A11" t="s">
        <v>19</v>
      </c>
      <c r="B11" t="s">
        <v>36</v>
      </c>
      <c r="C11" s="88">
        <v>506</v>
      </c>
      <c r="D11" s="17">
        <v>53</v>
      </c>
      <c r="E11" s="85">
        <v>10.5</v>
      </c>
      <c r="F11" s="24">
        <v>453</v>
      </c>
      <c r="G11" s="85">
        <v>89.5</v>
      </c>
      <c r="H11" s="84" t="s">
        <v>35</v>
      </c>
      <c r="I11" s="109" t="s">
        <v>35</v>
      </c>
      <c r="J11" t="s">
        <v>35</v>
      </c>
      <c r="K11" s="109" t="s">
        <v>35</v>
      </c>
      <c r="L11" t="s">
        <v>35</v>
      </c>
      <c r="M11" s="109" t="s">
        <v>35</v>
      </c>
      <c r="N11" t="s">
        <v>35</v>
      </c>
      <c r="O11" s="109" t="s">
        <v>35</v>
      </c>
      <c r="P11" t="s">
        <v>35</v>
      </c>
      <c r="Q11" s="109" t="s">
        <v>35</v>
      </c>
      <c r="R11" t="s">
        <v>35</v>
      </c>
      <c r="S11" s="109" t="s">
        <v>35</v>
      </c>
      <c r="T11" s="91" t="s">
        <v>35</v>
      </c>
      <c r="U11" s="85" t="s">
        <v>35</v>
      </c>
      <c r="V11" s="84" t="s">
        <v>35</v>
      </c>
      <c r="W11" t="s">
        <v>35</v>
      </c>
      <c r="X11" s="25">
        <v>4145</v>
      </c>
      <c r="Y11" s="26">
        <v>100</v>
      </c>
    </row>
    <row r="12" spans="1:26">
      <c r="A12" t="s">
        <v>34</v>
      </c>
      <c r="B12" t="s">
        <v>36</v>
      </c>
      <c r="C12" s="102">
        <v>88</v>
      </c>
      <c r="D12" s="102">
        <v>7</v>
      </c>
      <c r="E12" s="103">
        <v>8</v>
      </c>
      <c r="F12" s="104">
        <v>81</v>
      </c>
      <c r="G12" s="106">
        <v>92</v>
      </c>
      <c r="H12" s="102">
        <v>0</v>
      </c>
      <c r="I12" s="108">
        <v>0</v>
      </c>
      <c r="J12" s="110">
        <v>0</v>
      </c>
      <c r="K12" s="108">
        <v>0</v>
      </c>
      <c r="L12" s="110">
        <v>3</v>
      </c>
      <c r="M12" s="108">
        <v>3.7</v>
      </c>
      <c r="N12" s="110">
        <v>10</v>
      </c>
      <c r="O12" s="108">
        <v>12.35</v>
      </c>
      <c r="P12" s="110">
        <v>59</v>
      </c>
      <c r="Q12" s="108">
        <v>72.84</v>
      </c>
      <c r="R12" s="110">
        <v>0</v>
      </c>
      <c r="S12" s="108">
        <v>0</v>
      </c>
      <c r="T12" s="113">
        <v>9</v>
      </c>
      <c r="U12" s="103">
        <v>11.11</v>
      </c>
      <c r="V12" s="102">
        <v>0</v>
      </c>
      <c r="W12" s="115">
        <v>0</v>
      </c>
      <c r="X12" s="118">
        <v>3366</v>
      </c>
      <c r="Y12" s="120">
        <v>82.74</v>
      </c>
      <c r="Z12" s="54"/>
    </row>
    <row r="16" spans="1:26" ht="17" thickBot="1"/>
    <row r="17" spans="1:25" s="2" customFormat="1" ht="25" customHeight="1">
      <c r="A17" s="1"/>
      <c r="B17" s="259" t="s">
        <v>0</v>
      </c>
      <c r="C17" s="261" t="s">
        <v>21</v>
      </c>
      <c r="D17" s="243" t="s">
        <v>4</v>
      </c>
      <c r="E17" s="244"/>
      <c r="F17" s="243" t="s">
        <v>3</v>
      </c>
      <c r="G17" s="244"/>
      <c r="H17" s="263" t="s">
        <v>22</v>
      </c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65"/>
      <c r="V17" s="243" t="s">
        <v>23</v>
      </c>
      <c r="W17" s="244"/>
      <c r="X17" s="252" t="s">
        <v>6</v>
      </c>
      <c r="Y17" s="254" t="s">
        <v>7</v>
      </c>
    </row>
    <row r="18" spans="1:25" s="2" customFormat="1" ht="25" customHeight="1">
      <c r="A18" s="1"/>
      <c r="B18" s="260"/>
      <c r="C18" s="262"/>
      <c r="D18" s="245"/>
      <c r="E18" s="246"/>
      <c r="F18" s="245"/>
      <c r="G18" s="246"/>
      <c r="H18" s="256" t="s">
        <v>8</v>
      </c>
      <c r="I18" s="248"/>
      <c r="J18" s="257" t="s">
        <v>9</v>
      </c>
      <c r="K18" s="248"/>
      <c r="L18" s="247" t="s">
        <v>10</v>
      </c>
      <c r="M18" s="248"/>
      <c r="N18" s="247" t="s">
        <v>11</v>
      </c>
      <c r="O18" s="248"/>
      <c r="P18" s="247" t="s">
        <v>12</v>
      </c>
      <c r="Q18" s="248"/>
      <c r="R18" s="247" t="s">
        <v>13</v>
      </c>
      <c r="S18" s="248"/>
      <c r="T18" s="247" t="s">
        <v>14</v>
      </c>
      <c r="U18" s="258"/>
      <c r="V18" s="245"/>
      <c r="W18" s="246"/>
      <c r="X18" s="253"/>
      <c r="Y18" s="255"/>
    </row>
    <row r="19" spans="1:25" s="2" customFormat="1" ht="15" customHeight="1" thickBot="1">
      <c r="A19" s="1"/>
      <c r="B19" s="3"/>
      <c r="C19" s="4"/>
      <c r="D19" s="5" t="s">
        <v>15</v>
      </c>
      <c r="E19" s="9" t="s">
        <v>17</v>
      </c>
      <c r="F19" s="5" t="s">
        <v>15</v>
      </c>
      <c r="G19" s="9" t="s">
        <v>17</v>
      </c>
      <c r="H19" s="5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6" t="s">
        <v>16</v>
      </c>
      <c r="R19" s="7" t="s">
        <v>15</v>
      </c>
      <c r="S19" s="6" t="s">
        <v>16</v>
      </c>
      <c r="T19" s="7" t="s">
        <v>15</v>
      </c>
      <c r="U19" s="8" t="s">
        <v>16</v>
      </c>
      <c r="V19" s="7" t="s">
        <v>15</v>
      </c>
      <c r="W19" s="9" t="s">
        <v>17</v>
      </c>
      <c r="X19" s="10"/>
      <c r="Y19" s="11"/>
    </row>
    <row r="20" spans="1:25">
      <c r="A20" t="s">
        <v>33</v>
      </c>
      <c r="B20" t="s">
        <v>38</v>
      </c>
      <c r="C20" s="65">
        <v>22662</v>
      </c>
      <c r="D20" s="65">
        <v>704</v>
      </c>
      <c r="E20">
        <v>3.1</v>
      </c>
      <c r="F20" s="65">
        <v>21958</v>
      </c>
      <c r="G20" s="168">
        <v>96.9</v>
      </c>
      <c r="H20" s="65">
        <v>454</v>
      </c>
      <c r="I20" s="65">
        <v>2</v>
      </c>
      <c r="J20" s="162" t="s">
        <v>35</v>
      </c>
      <c r="K20" s="65" t="s">
        <v>35</v>
      </c>
      <c r="L20">
        <v>3359</v>
      </c>
      <c r="M20" s="65">
        <v>4.8</v>
      </c>
      <c r="N20" s="65">
        <v>7616</v>
      </c>
      <c r="O20" s="168">
        <v>33.6</v>
      </c>
      <c r="P20" s="65">
        <v>9236</v>
      </c>
      <c r="Q20" s="168">
        <v>40.700000000000003</v>
      </c>
      <c r="V20" s="65">
        <v>869</v>
      </c>
      <c r="W20">
        <v>3.8</v>
      </c>
    </row>
    <row r="21" spans="1:25">
      <c r="A21" t="s">
        <v>30</v>
      </c>
      <c r="B21" t="s">
        <v>38</v>
      </c>
      <c r="C21" s="13">
        <v>23032</v>
      </c>
      <c r="D21" s="14">
        <v>1463</v>
      </c>
      <c r="E21" s="15">
        <v>6.3520319555401201</v>
      </c>
      <c r="F21" s="13">
        <v>21569</v>
      </c>
      <c r="G21" s="15">
        <v>93.647968044459901</v>
      </c>
      <c r="H21" s="13">
        <v>615</v>
      </c>
      <c r="I21" s="15">
        <v>2.85131438638787</v>
      </c>
      <c r="J21" s="13">
        <v>133</v>
      </c>
      <c r="K21" s="15">
        <v>0.61662571282859702</v>
      </c>
      <c r="L21" s="13">
        <v>4157</v>
      </c>
      <c r="M21" s="15">
        <v>19.273030738559999</v>
      </c>
      <c r="N21" s="13">
        <v>7547</v>
      </c>
      <c r="O21" s="15">
        <v>34.990031990356499</v>
      </c>
      <c r="P21" s="13">
        <v>8448</v>
      </c>
      <c r="Q21" s="15">
        <v>39.1673234735036</v>
      </c>
      <c r="R21" s="13">
        <v>47</v>
      </c>
      <c r="S21" s="15">
        <v>0.21790532708980501</v>
      </c>
      <c r="T21" s="14">
        <v>622</v>
      </c>
      <c r="U21" s="15">
        <v>2.88376837127359</v>
      </c>
      <c r="V21" s="13">
        <v>1377</v>
      </c>
      <c r="W21" s="15">
        <v>5.9786384161167101</v>
      </c>
      <c r="X21" s="117">
        <v>95635</v>
      </c>
      <c r="Y21" s="15">
        <v>99.857792649134694</v>
      </c>
    </row>
    <row r="22" spans="1:25">
      <c r="A22" t="s">
        <v>29</v>
      </c>
      <c r="B22" t="s">
        <v>38</v>
      </c>
      <c r="C22" s="31">
        <v>26852</v>
      </c>
      <c r="D22" s="31">
        <v>2655</v>
      </c>
      <c r="E22" s="33">
        <v>9.9</v>
      </c>
      <c r="F22" s="31">
        <v>24197</v>
      </c>
      <c r="G22" s="33">
        <v>90.1</v>
      </c>
      <c r="H22" s="31">
        <v>383</v>
      </c>
      <c r="I22" s="33">
        <v>1.6</v>
      </c>
      <c r="J22" s="31">
        <v>106</v>
      </c>
      <c r="K22" s="33">
        <v>0.4</v>
      </c>
      <c r="L22" s="31">
        <v>3829</v>
      </c>
      <c r="M22" s="33">
        <v>15.8</v>
      </c>
      <c r="N22" s="31">
        <v>6873</v>
      </c>
      <c r="O22" s="33">
        <v>28.4</v>
      </c>
      <c r="P22" s="31">
        <v>11992</v>
      </c>
      <c r="Q22" s="33">
        <v>49.6</v>
      </c>
      <c r="R22" s="31">
        <v>28</v>
      </c>
      <c r="S22" s="33">
        <v>0.1</v>
      </c>
      <c r="T22" s="31">
        <v>986</v>
      </c>
      <c r="U22" s="33">
        <v>4.0999999999999996</v>
      </c>
      <c r="V22" s="31">
        <v>1352</v>
      </c>
      <c r="W22" s="33">
        <v>5</v>
      </c>
      <c r="X22" s="161">
        <v>95507</v>
      </c>
      <c r="Y22" s="143">
        <v>99.7</v>
      </c>
    </row>
    <row r="23" spans="1:25" ht="17" thickBot="1">
      <c r="A23" t="s">
        <v>20</v>
      </c>
      <c r="B23" t="s">
        <v>38</v>
      </c>
      <c r="C23" s="19">
        <v>24898</v>
      </c>
      <c r="D23" s="19">
        <v>3049</v>
      </c>
      <c r="E23" s="23">
        <v>12.246</v>
      </c>
      <c r="F23" s="19">
        <v>21849</v>
      </c>
      <c r="G23" s="23">
        <v>87.754000000000005</v>
      </c>
      <c r="H23" s="19">
        <v>378</v>
      </c>
      <c r="I23" s="23">
        <v>1.7301</v>
      </c>
      <c r="J23" s="19">
        <v>138</v>
      </c>
      <c r="K23" s="23">
        <v>0.63161</v>
      </c>
      <c r="L23" s="19">
        <v>4575</v>
      </c>
      <c r="M23" s="23">
        <v>20.9392</v>
      </c>
      <c r="N23" s="20">
        <v>7419</v>
      </c>
      <c r="O23" s="23">
        <v>33.956000000000003</v>
      </c>
      <c r="P23" s="19">
        <v>8530</v>
      </c>
      <c r="Q23" s="23">
        <v>39.040999999999997</v>
      </c>
      <c r="R23" s="20">
        <v>51</v>
      </c>
      <c r="S23" s="23">
        <v>0.2334</v>
      </c>
      <c r="T23" s="19">
        <v>758</v>
      </c>
      <c r="U23" s="23">
        <v>3.4693000000000001</v>
      </c>
      <c r="V23" s="86">
        <v>1651</v>
      </c>
      <c r="W23" s="23">
        <v>6.6311</v>
      </c>
      <c r="X23" s="87">
        <v>96360</v>
      </c>
      <c r="Y23" s="90">
        <v>99.998000000000005</v>
      </c>
    </row>
    <row r="24" spans="1:25" ht="17" thickBot="1">
      <c r="A24" t="s">
        <v>19</v>
      </c>
      <c r="B24" t="s">
        <v>38</v>
      </c>
      <c r="C24" s="88">
        <v>25414</v>
      </c>
      <c r="D24" s="24">
        <v>3535</v>
      </c>
      <c r="E24" s="85">
        <v>13.9</v>
      </c>
      <c r="F24" s="66">
        <v>21879</v>
      </c>
      <c r="G24" s="85">
        <v>86.1</v>
      </c>
      <c r="H24" s="147" t="s">
        <v>35</v>
      </c>
      <c r="I24" s="109" t="s">
        <v>35</v>
      </c>
      <c r="J24" t="s">
        <v>35</v>
      </c>
      <c r="K24" s="109" t="s">
        <v>35</v>
      </c>
      <c r="L24" t="s">
        <v>35</v>
      </c>
      <c r="M24" s="109" t="s">
        <v>35</v>
      </c>
      <c r="N24" t="s">
        <v>35</v>
      </c>
      <c r="O24" s="109" t="s">
        <v>35</v>
      </c>
      <c r="P24" s="91" t="s">
        <v>35</v>
      </c>
      <c r="Q24" s="109" t="s">
        <v>35</v>
      </c>
      <c r="R24" t="s">
        <v>35</v>
      </c>
      <c r="S24" s="109" t="s">
        <v>35</v>
      </c>
      <c r="T24" s="91" t="s">
        <v>35</v>
      </c>
      <c r="U24" s="85" t="s">
        <v>35</v>
      </c>
      <c r="V24" s="88" t="s">
        <v>35</v>
      </c>
      <c r="W24" t="s">
        <v>35</v>
      </c>
      <c r="X24" s="88"/>
      <c r="Y24" s="91"/>
    </row>
    <row r="25" spans="1:25">
      <c r="A25" t="s">
        <v>34</v>
      </c>
      <c r="B25" t="s">
        <v>38</v>
      </c>
      <c r="C25" s="136">
        <v>7062</v>
      </c>
      <c r="D25" s="146">
        <v>1081</v>
      </c>
      <c r="E25" s="166">
        <v>15.3</v>
      </c>
      <c r="F25" s="147">
        <v>5981</v>
      </c>
      <c r="G25" s="85">
        <v>84.7</v>
      </c>
      <c r="H25" s="132">
        <v>70</v>
      </c>
      <c r="I25" s="134">
        <v>1.17</v>
      </c>
      <c r="J25" s="54">
        <v>17</v>
      </c>
      <c r="K25" s="134">
        <v>0.28000000000000003</v>
      </c>
      <c r="L25" s="54">
        <v>1104</v>
      </c>
      <c r="M25" s="134">
        <v>18.46</v>
      </c>
      <c r="N25" s="54">
        <v>1549</v>
      </c>
      <c r="O25" s="134">
        <v>25.9</v>
      </c>
      <c r="P25" s="54">
        <v>2970</v>
      </c>
      <c r="Q25" s="134">
        <v>49.66</v>
      </c>
      <c r="R25" s="54">
        <v>6</v>
      </c>
      <c r="S25" s="134" t="s">
        <v>39</v>
      </c>
      <c r="T25" s="135">
        <v>265</v>
      </c>
      <c r="U25" s="133">
        <v>4.43</v>
      </c>
      <c r="V25" s="146">
        <v>410</v>
      </c>
      <c r="W25" s="55">
        <v>6.86</v>
      </c>
      <c r="X25" s="136">
        <v>84270</v>
      </c>
      <c r="Y25" s="137">
        <v>88.15</v>
      </c>
    </row>
    <row r="26" spans="1:25" ht="17" thickBot="1">
      <c r="A26">
        <v>2023</v>
      </c>
      <c r="B26" t="s">
        <v>38</v>
      </c>
      <c r="C26" s="104"/>
      <c r="D26" s="104"/>
      <c r="E26" s="106"/>
      <c r="F26" s="104"/>
      <c r="G26" s="106"/>
      <c r="H26" s="104"/>
      <c r="I26" s="140"/>
      <c r="J26" s="141"/>
      <c r="K26" s="140"/>
      <c r="L26" s="141"/>
      <c r="M26" s="140"/>
      <c r="N26" s="141"/>
      <c r="O26" s="140"/>
      <c r="P26" s="141"/>
      <c r="Q26" s="140"/>
      <c r="R26" s="141"/>
      <c r="S26" s="140"/>
      <c r="T26" s="142"/>
      <c r="U26" s="106"/>
      <c r="V26" s="104"/>
      <c r="W26" s="141"/>
      <c r="X26" s="160"/>
      <c r="Y26" s="142"/>
    </row>
    <row r="27" spans="1:25" ht="18" thickTop="1" thickBot="1">
      <c r="A27">
        <v>2024</v>
      </c>
      <c r="B27" t="s">
        <v>38</v>
      </c>
      <c r="J27" s="153"/>
    </row>
    <row r="28" spans="1:25" ht="17" thickTop="1"/>
    <row r="29" spans="1:25" ht="17" thickBot="1"/>
    <row r="30" spans="1:25" ht="18" thickTop="1" thickBot="1">
      <c r="H30" s="72"/>
      <c r="I30" s="72"/>
      <c r="J30" s="72"/>
      <c r="K30" s="72"/>
      <c r="L30" s="72"/>
      <c r="M30" s="72"/>
      <c r="N30" s="72"/>
      <c r="O30" s="72"/>
      <c r="P30" s="73"/>
    </row>
    <row r="31" spans="1:25" ht="17" thickTop="1"/>
    <row r="32" spans="1:25" ht="17" thickBot="1">
      <c r="C32" t="s">
        <v>49</v>
      </c>
    </row>
    <row r="33" spans="3:16" ht="18" thickTop="1" thickBot="1">
      <c r="C33" s="70"/>
      <c r="D33" s="70" t="s">
        <v>40</v>
      </c>
      <c r="E33" s="75" t="s">
        <v>9</v>
      </c>
      <c r="F33" s="75" t="s">
        <v>44</v>
      </c>
      <c r="G33" s="75" t="s">
        <v>41</v>
      </c>
      <c r="H33" s="75" t="s">
        <v>12</v>
      </c>
      <c r="I33" t="s">
        <v>45</v>
      </c>
      <c r="J33" t="s">
        <v>14</v>
      </c>
      <c r="K33" t="s">
        <v>42</v>
      </c>
      <c r="L33" s="64"/>
      <c r="M33" s="62"/>
      <c r="N33" s="64"/>
      <c r="O33" s="62"/>
      <c r="P33" s="63"/>
    </row>
    <row r="34" spans="3:16" ht="18" thickTop="1" thickBot="1">
      <c r="C34" t="s">
        <v>33</v>
      </c>
      <c r="D34" s="107"/>
      <c r="E34" s="107"/>
      <c r="F34" s="107"/>
      <c r="G34" s="107"/>
      <c r="H34" s="107"/>
      <c r="I34" s="107"/>
      <c r="J34" s="114"/>
      <c r="K34">
        <v>12.7</v>
      </c>
    </row>
    <row r="35" spans="3:16" ht="17" thickBot="1">
      <c r="C35" t="s">
        <v>30</v>
      </c>
      <c r="D35" s="15">
        <v>1.22377622377622</v>
      </c>
      <c r="E35" s="15">
        <v>0</v>
      </c>
      <c r="F35" s="15">
        <v>11.363636363636401</v>
      </c>
      <c r="G35" s="15">
        <v>38.286713286713301</v>
      </c>
      <c r="H35" s="15">
        <v>45.1048951048951</v>
      </c>
      <c r="I35" s="15">
        <v>0</v>
      </c>
      <c r="J35" s="15">
        <v>4.0209790209790199</v>
      </c>
      <c r="K35" s="15">
        <v>22.4</v>
      </c>
    </row>
    <row r="36" spans="3:16" ht="18" thickTop="1" thickBot="1">
      <c r="C36" t="s">
        <v>29</v>
      </c>
      <c r="D36" s="33">
        <v>0</v>
      </c>
      <c r="E36" s="33" t="s">
        <v>31</v>
      </c>
      <c r="F36" s="33">
        <v>8.6999999999999993</v>
      </c>
      <c r="G36" s="33">
        <v>41.1</v>
      </c>
      <c r="H36" s="33">
        <v>44.4</v>
      </c>
      <c r="I36" s="33">
        <v>0</v>
      </c>
      <c r="J36" s="33">
        <v>4.8</v>
      </c>
      <c r="K36" s="33">
        <v>16.2</v>
      </c>
      <c r="L36" s="64"/>
      <c r="M36" s="62"/>
      <c r="N36" s="64"/>
      <c r="O36" s="62"/>
      <c r="P36" s="63"/>
    </row>
    <row r="37" spans="3:16" ht="17" thickTop="1">
      <c r="C37" t="s">
        <v>20</v>
      </c>
      <c r="D37" s="18">
        <v>0.3231</v>
      </c>
      <c r="E37" s="18">
        <v>0.6462</v>
      </c>
      <c r="F37" s="18">
        <v>15.347300000000001</v>
      </c>
      <c r="G37" s="18">
        <v>45.88</v>
      </c>
      <c r="H37" s="18">
        <v>35.863999999999997</v>
      </c>
      <c r="I37" s="18">
        <v>0</v>
      </c>
      <c r="J37" s="22">
        <v>1.9386000000000001</v>
      </c>
      <c r="K37" s="23">
        <v>26.5</v>
      </c>
      <c r="M37" s="65"/>
    </row>
    <row r="38" spans="3:16">
      <c r="C38" t="s">
        <v>19</v>
      </c>
      <c r="D38" s="109" t="s">
        <v>35</v>
      </c>
      <c r="E38" s="109" t="s">
        <v>35</v>
      </c>
      <c r="F38" s="109" t="s">
        <v>35</v>
      </c>
      <c r="G38" s="109" t="s">
        <v>35</v>
      </c>
      <c r="H38" s="109" t="s">
        <v>35</v>
      </c>
      <c r="I38" s="109" t="s">
        <v>35</v>
      </c>
      <c r="J38" s="85" t="s">
        <v>35</v>
      </c>
      <c r="K38" s="23">
        <v>8.9</v>
      </c>
    </row>
    <row r="39" spans="3:16">
      <c r="C39" t="s">
        <v>34</v>
      </c>
      <c r="D39" s="108">
        <v>0</v>
      </c>
      <c r="E39" s="108">
        <v>0</v>
      </c>
      <c r="F39" s="108">
        <v>3.7</v>
      </c>
      <c r="G39" s="108">
        <v>12.35</v>
      </c>
      <c r="H39" s="108">
        <v>72.84</v>
      </c>
      <c r="I39" s="108">
        <v>0</v>
      </c>
      <c r="J39" s="103">
        <v>11.11</v>
      </c>
      <c r="K39" s="58">
        <v>3.3</v>
      </c>
    </row>
    <row r="47" spans="3:16">
      <c r="C47" t="s">
        <v>42</v>
      </c>
      <c r="E47" t="s">
        <v>55</v>
      </c>
      <c r="G47" t="s">
        <v>56</v>
      </c>
    </row>
    <row r="48" spans="3:16" ht="17" thickBot="1">
      <c r="C48" s="101">
        <v>462</v>
      </c>
      <c r="E48">
        <v>374</v>
      </c>
      <c r="G48" s="13">
        <v>88</v>
      </c>
    </row>
    <row r="49" spans="3:12">
      <c r="C49" s="13">
        <v>599</v>
      </c>
      <c r="E49" s="13">
        <v>470</v>
      </c>
      <c r="G49" s="13">
        <v>129</v>
      </c>
    </row>
    <row r="50" spans="3:12">
      <c r="C50" s="31">
        <v>433</v>
      </c>
      <c r="E50" s="27">
        <v>326</v>
      </c>
      <c r="G50" s="27">
        <v>107</v>
      </c>
    </row>
    <row r="51" spans="3:12">
      <c r="C51" s="16">
        <v>708</v>
      </c>
      <c r="E51" s="16">
        <v>555</v>
      </c>
      <c r="G51" s="16">
        <v>153</v>
      </c>
    </row>
    <row r="52" spans="3:12">
      <c r="C52" s="88">
        <v>506</v>
      </c>
      <c r="E52" s="84">
        <v>399</v>
      </c>
      <c r="G52" s="84">
        <v>107</v>
      </c>
    </row>
    <row r="53" spans="3:12">
      <c r="C53" s="102">
        <v>88</v>
      </c>
      <c r="E53" s="54">
        <v>74</v>
      </c>
      <c r="G53" s="54">
        <v>14</v>
      </c>
    </row>
    <row r="54" spans="3:12">
      <c r="C54" s="176">
        <f>SUM(C48:C53)</f>
        <v>2796</v>
      </c>
    </row>
    <row r="58" spans="3:12">
      <c r="D58" t="s">
        <v>18</v>
      </c>
      <c r="E58" t="s">
        <v>42</v>
      </c>
      <c r="F58" t="s">
        <v>55</v>
      </c>
      <c r="G58" t="s">
        <v>56</v>
      </c>
    </row>
    <row r="59" spans="3:12">
      <c r="D59" t="s">
        <v>33</v>
      </c>
      <c r="E59" s="173">
        <v>0.16500000000000001</v>
      </c>
      <c r="F59" s="173">
        <v>0.81</v>
      </c>
      <c r="G59" s="173">
        <v>0.19</v>
      </c>
    </row>
    <row r="60" spans="3:12">
      <c r="D60" t="s">
        <v>30</v>
      </c>
      <c r="E60" s="173">
        <v>0.214</v>
      </c>
      <c r="F60" s="173">
        <v>0.78500000000000003</v>
      </c>
      <c r="G60" s="173">
        <v>0.215</v>
      </c>
    </row>
    <row r="61" spans="3:12">
      <c r="D61" t="s">
        <v>29</v>
      </c>
      <c r="E61" s="173">
        <v>0.155</v>
      </c>
      <c r="F61" s="173">
        <v>0.753</v>
      </c>
      <c r="G61" s="173">
        <v>0.247</v>
      </c>
    </row>
    <row r="62" spans="3:12">
      <c r="D62" t="s">
        <v>20</v>
      </c>
      <c r="E62" s="173">
        <v>0.253</v>
      </c>
      <c r="F62" s="173">
        <v>0.78400000000000003</v>
      </c>
      <c r="G62" s="173">
        <v>0.216</v>
      </c>
    </row>
    <row r="63" spans="3:12">
      <c r="D63" t="s">
        <v>19</v>
      </c>
      <c r="E63" s="173">
        <v>0.18099999999999999</v>
      </c>
      <c r="F63" s="173">
        <v>0.78900000000000003</v>
      </c>
      <c r="G63" s="173">
        <v>0.21099999999999999</v>
      </c>
    </row>
    <row r="64" spans="3:12">
      <c r="D64" t="s">
        <v>34</v>
      </c>
      <c r="E64" s="173">
        <v>3.1E-2</v>
      </c>
      <c r="F64" s="173">
        <v>0.84099999999999997</v>
      </c>
      <c r="G64" s="173">
        <v>0.159</v>
      </c>
      <c r="L64" s="65"/>
    </row>
    <row r="65" spans="3:12" ht="17" thickBot="1">
      <c r="L65" s="65"/>
    </row>
    <row r="66" spans="3:12" ht="43">
      <c r="D66" t="s">
        <v>18</v>
      </c>
      <c r="E66" s="71" t="s">
        <v>60</v>
      </c>
      <c r="F66" s="71" t="s">
        <v>61</v>
      </c>
      <c r="G66" s="177" t="s">
        <v>59</v>
      </c>
      <c r="I66" t="s">
        <v>18</v>
      </c>
      <c r="J66" t="s">
        <v>59</v>
      </c>
      <c r="K66" s="177" t="s">
        <v>76</v>
      </c>
      <c r="L66" s="177" t="s">
        <v>77</v>
      </c>
    </row>
    <row r="67" spans="3:12" ht="17" thickBot="1">
      <c r="D67" t="s">
        <v>33</v>
      </c>
      <c r="E67" s="101">
        <v>462</v>
      </c>
      <c r="F67" s="65">
        <v>22662</v>
      </c>
      <c r="G67" s="178">
        <v>0.02</v>
      </c>
      <c r="I67" t="s">
        <v>33</v>
      </c>
      <c r="J67" s="178">
        <v>0.02</v>
      </c>
      <c r="K67" s="178">
        <v>2.1000000000000001E-2</v>
      </c>
      <c r="L67" s="178">
        <v>1.7999999999999999E-2</v>
      </c>
    </row>
    <row r="68" spans="3:12">
      <c r="D68" t="s">
        <v>30</v>
      </c>
      <c r="E68" s="13">
        <v>599</v>
      </c>
      <c r="F68" s="13">
        <v>23032</v>
      </c>
      <c r="G68" s="178">
        <v>2.5999999999999999E-2</v>
      </c>
      <c r="I68" t="s">
        <v>30</v>
      </c>
      <c r="J68" s="178">
        <v>2.5999999999999999E-2</v>
      </c>
      <c r="K68" s="178">
        <v>2.5000000000000001E-2</v>
      </c>
      <c r="L68" s="178">
        <v>3.1E-2</v>
      </c>
    </row>
    <row r="69" spans="3:12">
      <c r="D69" t="s">
        <v>29</v>
      </c>
      <c r="E69" s="31">
        <v>433</v>
      </c>
      <c r="F69" s="31">
        <v>26852</v>
      </c>
      <c r="G69" s="178">
        <v>1.6E-2</v>
      </c>
      <c r="I69" t="s">
        <v>29</v>
      </c>
      <c r="J69" s="178">
        <v>1.6E-2</v>
      </c>
      <c r="K69" s="178">
        <v>1.4999999999999999E-2</v>
      </c>
      <c r="L69" s="178">
        <v>2.1999999999999999E-2</v>
      </c>
    </row>
    <row r="70" spans="3:12">
      <c r="D70" t="s">
        <v>20</v>
      </c>
      <c r="E70" s="16">
        <v>708</v>
      </c>
      <c r="F70" s="19">
        <v>24898</v>
      </c>
      <c r="G70" s="178">
        <v>2.8000000000000001E-2</v>
      </c>
      <c r="I70" t="s">
        <v>20</v>
      </c>
      <c r="J70" s="178">
        <v>2.8000000000000001E-2</v>
      </c>
      <c r="K70" s="178">
        <v>2.8000000000000001E-2</v>
      </c>
      <c r="L70" s="178">
        <v>3.1E-2</v>
      </c>
    </row>
    <row r="71" spans="3:12">
      <c r="D71" t="s">
        <v>19</v>
      </c>
      <c r="E71" s="88">
        <v>506</v>
      </c>
      <c r="F71" s="88">
        <v>25414</v>
      </c>
      <c r="G71" s="178">
        <v>0.02</v>
      </c>
      <c r="I71" t="s">
        <v>19</v>
      </c>
      <c r="J71" s="178">
        <v>0.02</v>
      </c>
      <c r="K71" s="178">
        <v>0.02</v>
      </c>
      <c r="L71" s="178">
        <v>2.1000000000000001E-2</v>
      </c>
    </row>
    <row r="72" spans="3:12">
      <c r="D72" t="s">
        <v>34</v>
      </c>
      <c r="E72" s="102">
        <v>88</v>
      </c>
      <c r="F72" s="136">
        <v>7062</v>
      </c>
      <c r="G72" s="178">
        <v>1.2E-2</v>
      </c>
      <c r="I72" t="s">
        <v>34</v>
      </c>
      <c r="J72" s="178">
        <v>1.2E-2</v>
      </c>
      <c r="K72" s="178">
        <v>1.2999999999999999E-2</v>
      </c>
      <c r="L72" s="178">
        <v>0.01</v>
      </c>
    </row>
    <row r="78" spans="3:12" ht="17" thickBot="1"/>
    <row r="79" spans="3:12">
      <c r="C79" s="243" t="s">
        <v>4</v>
      </c>
      <c r="D79" s="244"/>
      <c r="E79" s="243" t="s">
        <v>4</v>
      </c>
      <c r="F79" s="244"/>
      <c r="G79" s="243" t="s">
        <v>4</v>
      </c>
      <c r="H79" s="244"/>
    </row>
    <row r="80" spans="3:12">
      <c r="C80" s="245"/>
      <c r="D80" s="246"/>
      <c r="E80" s="245"/>
      <c r="F80" s="246"/>
      <c r="G80" s="245"/>
      <c r="H80" s="246"/>
    </row>
    <row r="81" spans="3:8" ht="18" thickBot="1">
      <c r="C81" s="80" t="s">
        <v>15</v>
      </c>
      <c r="D81" s="80" t="s">
        <v>28</v>
      </c>
      <c r="E81" s="5" t="s">
        <v>15</v>
      </c>
      <c r="F81" s="9" t="s">
        <v>17</v>
      </c>
      <c r="G81" s="5" t="s">
        <v>15</v>
      </c>
      <c r="H81" s="9" t="s">
        <v>17</v>
      </c>
    </row>
    <row r="82" spans="3:8" ht="17" thickBot="1">
      <c r="C82" s="83">
        <f>SUM(O88:O88)</f>
        <v>0</v>
      </c>
      <c r="D82" s="77"/>
      <c r="E82" s="65" t="s">
        <v>35</v>
      </c>
      <c r="F82" s="14"/>
      <c r="G82" s="14">
        <v>3</v>
      </c>
      <c r="H82" s="15">
        <v>3.5</v>
      </c>
    </row>
    <row r="83" spans="3:8">
      <c r="C83" s="14">
        <v>27</v>
      </c>
      <c r="D83" s="15">
        <v>4.5075125208681097</v>
      </c>
      <c r="E83" s="40">
        <v>23</v>
      </c>
      <c r="F83" s="15">
        <v>4.9000000000000004</v>
      </c>
      <c r="G83" s="40">
        <v>4</v>
      </c>
      <c r="H83" s="15">
        <v>3.1</v>
      </c>
    </row>
    <row r="84" spans="3:8">
      <c r="C84" s="28">
        <v>41</v>
      </c>
      <c r="D84" s="33">
        <v>9.5</v>
      </c>
      <c r="E84" s="28">
        <v>23</v>
      </c>
      <c r="F84" s="29">
        <v>7.1</v>
      </c>
      <c r="G84" s="28">
        <v>18</v>
      </c>
      <c r="H84" s="29">
        <v>16.8</v>
      </c>
    </row>
    <row r="85" spans="3:8">
      <c r="C85" s="17">
        <v>89</v>
      </c>
      <c r="D85" s="22">
        <v>12.570600000000001</v>
      </c>
      <c r="E85" s="17">
        <v>50</v>
      </c>
      <c r="F85" s="22">
        <v>9.0090000000000003</v>
      </c>
      <c r="G85" s="17">
        <v>39</v>
      </c>
      <c r="H85" s="22">
        <v>25.490200000000002</v>
      </c>
    </row>
    <row r="86" spans="3:8">
      <c r="C86" s="17">
        <v>53</v>
      </c>
      <c r="D86" s="85">
        <v>10.5</v>
      </c>
      <c r="E86" s="17">
        <v>44</v>
      </c>
      <c r="F86" s="85">
        <v>11</v>
      </c>
      <c r="G86" s="17">
        <v>9</v>
      </c>
      <c r="H86" s="85">
        <v>8.4</v>
      </c>
    </row>
    <row r="87" spans="3:8">
      <c r="C87" s="102">
        <v>7</v>
      </c>
      <c r="D87" s="103">
        <v>8</v>
      </c>
      <c r="E87" s="54">
        <v>6</v>
      </c>
      <c r="F87" s="55">
        <v>8.1</v>
      </c>
      <c r="G87" s="54">
        <v>1</v>
      </c>
      <c r="H87" s="58">
        <v>7.14</v>
      </c>
    </row>
    <row r="88" spans="3:8" ht="17" thickBot="1"/>
    <row r="89" spans="3:8">
      <c r="C89" s="243" t="s">
        <v>3</v>
      </c>
      <c r="D89" s="244"/>
      <c r="E89" s="243" t="s">
        <v>3</v>
      </c>
      <c r="F89" s="244"/>
      <c r="G89" s="243" t="s">
        <v>3</v>
      </c>
      <c r="H89" s="244"/>
    </row>
    <row r="90" spans="3:8">
      <c r="C90" s="245"/>
      <c r="D90" s="246"/>
      <c r="E90" s="245"/>
      <c r="F90" s="246"/>
      <c r="G90" s="245"/>
      <c r="H90" s="246"/>
    </row>
    <row r="91" spans="3:8" ht="18" thickBot="1">
      <c r="C91" s="80" t="s">
        <v>15</v>
      </c>
      <c r="D91" s="80" t="s">
        <v>28</v>
      </c>
      <c r="E91" s="5" t="s">
        <v>15</v>
      </c>
      <c r="F91" s="9" t="s">
        <v>17</v>
      </c>
      <c r="G91" s="5" t="s">
        <v>15</v>
      </c>
      <c r="H91" s="9" t="s">
        <v>17</v>
      </c>
    </row>
    <row r="92" spans="3:8" ht="17" thickBot="1">
      <c r="C92" s="83">
        <v>340</v>
      </c>
      <c r="D92" s="105"/>
      <c r="E92" s="65" t="s">
        <v>35</v>
      </c>
      <c r="F92" s="13"/>
      <c r="G92" s="13">
        <v>85</v>
      </c>
      <c r="H92" s="15">
        <v>96.5</v>
      </c>
    </row>
    <row r="93" spans="3:8">
      <c r="C93" s="13">
        <v>572</v>
      </c>
      <c r="D93" s="15">
        <v>95.492487479131896</v>
      </c>
      <c r="E93" s="40">
        <v>447</v>
      </c>
      <c r="F93" s="15">
        <v>95.1</v>
      </c>
      <c r="G93" s="40">
        <v>125</v>
      </c>
      <c r="H93" s="15">
        <v>96.9</v>
      </c>
    </row>
    <row r="94" spans="3:8">
      <c r="C94" s="28">
        <v>392</v>
      </c>
      <c r="D94" s="33">
        <v>90.5</v>
      </c>
      <c r="E94" s="28">
        <v>303</v>
      </c>
      <c r="F94" s="29">
        <v>92.9</v>
      </c>
      <c r="G94" s="28">
        <v>89</v>
      </c>
      <c r="H94" s="29">
        <v>83.2</v>
      </c>
    </row>
    <row r="95" spans="3:8">
      <c r="C95" s="24">
        <v>619</v>
      </c>
      <c r="D95" s="22">
        <v>87.429000000000002</v>
      </c>
      <c r="E95" s="24">
        <v>505</v>
      </c>
      <c r="F95" s="22">
        <v>90.991</v>
      </c>
      <c r="G95" s="24">
        <v>114</v>
      </c>
      <c r="H95" s="22">
        <v>74.510000000000005</v>
      </c>
    </row>
    <row r="96" spans="3:8">
      <c r="C96" s="24">
        <v>453</v>
      </c>
      <c r="D96" s="85">
        <v>89.5</v>
      </c>
      <c r="E96" s="24">
        <v>355</v>
      </c>
      <c r="F96" s="85">
        <v>89</v>
      </c>
      <c r="G96" s="24">
        <v>98</v>
      </c>
      <c r="H96" s="85">
        <v>91.6</v>
      </c>
    </row>
    <row r="97" spans="3:8">
      <c r="C97" s="104">
        <v>81</v>
      </c>
      <c r="D97" s="106">
        <v>92</v>
      </c>
      <c r="E97">
        <v>68</v>
      </c>
      <c r="F97">
        <v>91.9</v>
      </c>
      <c r="G97">
        <v>13</v>
      </c>
      <c r="H97" s="59">
        <v>92.86</v>
      </c>
    </row>
    <row r="100" spans="3:8" ht="17" thickBot="1"/>
    <row r="101" spans="3:8" ht="16" customHeight="1">
      <c r="C101" s="243" t="s">
        <v>23</v>
      </c>
      <c r="D101" s="244"/>
      <c r="E101" s="243" t="s">
        <v>23</v>
      </c>
      <c r="F101" s="244"/>
      <c r="G101" s="243" t="s">
        <v>23</v>
      </c>
      <c r="H101" s="244"/>
    </row>
    <row r="102" spans="3:8">
      <c r="C102" s="245"/>
      <c r="D102" s="246"/>
      <c r="E102" s="245"/>
      <c r="F102" s="246"/>
      <c r="G102" s="245"/>
      <c r="H102" s="246"/>
    </row>
    <row r="103" spans="3:8" ht="18" thickBot="1">
      <c r="C103" s="80" t="s">
        <v>15</v>
      </c>
      <c r="D103" s="80" t="s">
        <v>28</v>
      </c>
      <c r="E103" s="7" t="s">
        <v>15</v>
      </c>
      <c r="F103" s="9" t="s">
        <v>17</v>
      </c>
      <c r="G103" s="7" t="s">
        <v>15</v>
      </c>
      <c r="H103" s="9" t="s">
        <v>17</v>
      </c>
    </row>
    <row r="104" spans="3:8" ht="17" thickBot="1">
      <c r="C104" s="82">
        <v>9</v>
      </c>
      <c r="D104" s="105"/>
      <c r="E104" s="15" t="s">
        <v>35</v>
      </c>
      <c r="F104" s="13"/>
      <c r="G104" s="13">
        <v>0</v>
      </c>
      <c r="H104" s="15"/>
    </row>
    <row r="105" spans="3:8">
      <c r="C105" s="13">
        <v>6</v>
      </c>
      <c r="D105" s="15">
        <v>1.0016694490817999</v>
      </c>
      <c r="E105" s="13">
        <v>6</v>
      </c>
      <c r="F105" s="15">
        <v>1.0016694490817999</v>
      </c>
      <c r="G105" s="14">
        <v>0</v>
      </c>
      <c r="H105" s="15">
        <v>0</v>
      </c>
    </row>
    <row r="106" spans="3:8">
      <c r="C106" s="31">
        <v>16</v>
      </c>
      <c r="D106" s="33">
        <v>3.7</v>
      </c>
      <c r="E106" s="27">
        <v>16</v>
      </c>
      <c r="F106" s="33">
        <v>4.9000000000000004</v>
      </c>
      <c r="G106" s="27">
        <v>0</v>
      </c>
      <c r="H106" s="33">
        <v>0</v>
      </c>
    </row>
    <row r="107" spans="3:8">
      <c r="C107" s="46">
        <v>38</v>
      </c>
      <c r="D107" s="23">
        <v>5.3672000000000004</v>
      </c>
      <c r="E107" s="92">
        <v>34</v>
      </c>
      <c r="F107" s="23">
        <v>6.1261000000000001</v>
      </c>
      <c r="G107" s="92">
        <v>4</v>
      </c>
      <c r="H107" s="23">
        <v>2.6143999999999998</v>
      </c>
    </row>
    <row r="108" spans="3:8">
      <c r="C108" s="84" t="s">
        <v>35</v>
      </c>
      <c r="D108" t="s">
        <v>35</v>
      </c>
      <c r="E108" s="84" t="s">
        <v>35</v>
      </c>
      <c r="F108" t="s">
        <v>35</v>
      </c>
      <c r="G108" s="84" t="s">
        <v>35</v>
      </c>
      <c r="H108" t="s">
        <v>35</v>
      </c>
    </row>
    <row r="109" spans="3:8">
      <c r="C109" s="102">
        <v>0</v>
      </c>
      <c r="D109" s="115">
        <v>0</v>
      </c>
      <c r="E109" s="54">
        <v>0</v>
      </c>
      <c r="F109" s="55">
        <v>0</v>
      </c>
      <c r="G109" s="54">
        <v>0</v>
      </c>
      <c r="H109" s="55">
        <v>0</v>
      </c>
    </row>
  </sheetData>
  <sortState xmlns:xlrd2="http://schemas.microsoft.com/office/spreadsheetml/2017/richdata2" ref="A19:Z27">
    <sortCondition descending="1" ref="Z19:Z27"/>
  </sortState>
  <mergeCells count="39">
    <mergeCell ref="C101:D102"/>
    <mergeCell ref="E101:F102"/>
    <mergeCell ref="G101:H102"/>
    <mergeCell ref="C79:D80"/>
    <mergeCell ref="E79:F80"/>
    <mergeCell ref="G79:H80"/>
    <mergeCell ref="C89:D90"/>
    <mergeCell ref="E89:F90"/>
    <mergeCell ref="G89:H90"/>
    <mergeCell ref="B4:B5"/>
    <mergeCell ref="C4:C5"/>
    <mergeCell ref="D4:E5"/>
    <mergeCell ref="F4:G5"/>
    <mergeCell ref="H4:U4"/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B17:B18"/>
    <mergeCell ref="C17:C18"/>
    <mergeCell ref="D17:E18"/>
    <mergeCell ref="F17:G18"/>
    <mergeCell ref="H17:U17"/>
    <mergeCell ref="V17:W18"/>
    <mergeCell ref="X17:X18"/>
    <mergeCell ref="Y17:Y18"/>
    <mergeCell ref="H18:I18"/>
    <mergeCell ref="J18:K18"/>
    <mergeCell ref="L18:M18"/>
    <mergeCell ref="N18:O18"/>
    <mergeCell ref="P18:Q18"/>
    <mergeCell ref="R18:S18"/>
    <mergeCell ref="T18:U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Z51"/>
  <sheetViews>
    <sheetView zoomScale="114" workbookViewId="0">
      <selection activeCell="D8" sqref="D8:D12"/>
    </sheetView>
  </sheetViews>
  <sheetFormatPr baseColWidth="10" defaultColWidth="10.83203125" defaultRowHeight="16"/>
  <sheetData>
    <row r="3" spans="1:26" ht="17" thickBot="1"/>
    <row r="4" spans="1:26" s="2" customFormat="1" ht="25" customHeight="1">
      <c r="A4" s="1"/>
      <c r="B4" s="259" t="s">
        <v>0</v>
      </c>
      <c r="C4" s="261" t="s">
        <v>21</v>
      </c>
      <c r="D4" s="243" t="s">
        <v>4</v>
      </c>
      <c r="E4" s="244"/>
      <c r="F4" s="243" t="s">
        <v>3</v>
      </c>
      <c r="G4" s="244"/>
      <c r="H4" s="263" t="s">
        <v>22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5"/>
      <c r="V4" s="243" t="s">
        <v>23</v>
      </c>
      <c r="W4" s="244"/>
      <c r="X4" s="252" t="s">
        <v>6</v>
      </c>
      <c r="Y4" s="254" t="s">
        <v>7</v>
      </c>
    </row>
    <row r="5" spans="1:26" s="2" customFormat="1" ht="25" customHeight="1">
      <c r="A5" s="1"/>
      <c r="B5" s="260"/>
      <c r="C5" s="262"/>
      <c r="D5" s="245"/>
      <c r="E5" s="246"/>
      <c r="F5" s="245"/>
      <c r="G5" s="246"/>
      <c r="H5" s="256" t="s">
        <v>8</v>
      </c>
      <c r="I5" s="248"/>
      <c r="J5" s="257" t="s">
        <v>9</v>
      </c>
      <c r="K5" s="248"/>
      <c r="L5" s="247" t="s">
        <v>10</v>
      </c>
      <c r="M5" s="248"/>
      <c r="N5" s="247" t="s">
        <v>11</v>
      </c>
      <c r="O5" s="248"/>
      <c r="P5" s="247" t="s">
        <v>12</v>
      </c>
      <c r="Q5" s="248"/>
      <c r="R5" s="247" t="s">
        <v>13</v>
      </c>
      <c r="S5" s="248"/>
      <c r="T5" s="247" t="s">
        <v>14</v>
      </c>
      <c r="U5" s="258"/>
      <c r="V5" s="245"/>
      <c r="W5" s="246"/>
      <c r="X5" s="253"/>
      <c r="Y5" s="255"/>
    </row>
    <row r="6" spans="1:26" s="2" customFormat="1" ht="15" customHeight="1" thickBot="1">
      <c r="A6" s="1"/>
      <c r="B6" s="3"/>
      <c r="C6" s="4"/>
      <c r="D6" s="5" t="s">
        <v>15</v>
      </c>
      <c r="E6" s="9" t="s">
        <v>17</v>
      </c>
      <c r="F6" s="5" t="s">
        <v>15</v>
      </c>
      <c r="G6" s="9" t="s">
        <v>17</v>
      </c>
      <c r="H6" s="5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6" t="s">
        <v>16</v>
      </c>
      <c r="R6" s="7" t="s">
        <v>15</v>
      </c>
      <c r="S6" s="6" t="s">
        <v>16</v>
      </c>
      <c r="T6" s="7" t="s">
        <v>15</v>
      </c>
      <c r="U6" s="8" t="s">
        <v>16</v>
      </c>
      <c r="V6" s="7" t="s">
        <v>15</v>
      </c>
      <c r="W6" s="9" t="s">
        <v>17</v>
      </c>
      <c r="X6" s="10"/>
      <c r="Y6" s="11"/>
    </row>
    <row r="7" spans="1:26">
      <c r="A7" t="s">
        <v>33</v>
      </c>
      <c r="B7" t="s">
        <v>36</v>
      </c>
      <c r="C7">
        <v>374</v>
      </c>
      <c r="D7" s="65" t="s">
        <v>35</v>
      </c>
      <c r="E7" s="14"/>
      <c r="F7" s="65" t="s">
        <v>35</v>
      </c>
      <c r="G7" s="13"/>
      <c r="H7" s="138" t="s">
        <v>35</v>
      </c>
      <c r="I7" s="14"/>
      <c r="J7" s="138" t="s">
        <v>35</v>
      </c>
      <c r="K7" s="13"/>
      <c r="L7" s="13">
        <v>41</v>
      </c>
      <c r="M7" s="13">
        <v>11</v>
      </c>
      <c r="N7" s="15" t="s">
        <v>35</v>
      </c>
      <c r="O7" s="13"/>
      <c r="P7" t="s">
        <v>35</v>
      </c>
      <c r="Q7" s="14"/>
      <c r="R7" s="15"/>
      <c r="S7" s="14"/>
      <c r="T7" s="15"/>
      <c r="U7" s="13"/>
      <c r="V7" s="15" t="s">
        <v>35</v>
      </c>
      <c r="W7" s="13"/>
      <c r="X7" s="15"/>
    </row>
    <row r="8" spans="1:26">
      <c r="A8" t="s">
        <v>30</v>
      </c>
      <c r="B8" t="s">
        <v>36</v>
      </c>
      <c r="C8" s="13">
        <v>470</v>
      </c>
      <c r="D8" s="40">
        <v>23</v>
      </c>
      <c r="E8" s="15">
        <v>4.9000000000000004</v>
      </c>
      <c r="F8" s="40">
        <v>447</v>
      </c>
      <c r="G8" s="15">
        <v>95.1</v>
      </c>
      <c r="H8" s="13">
        <v>5</v>
      </c>
      <c r="I8" s="15">
        <v>0.87412587412587395</v>
      </c>
      <c r="J8" s="13">
        <v>0</v>
      </c>
      <c r="K8" s="15">
        <v>0</v>
      </c>
      <c r="L8" s="13">
        <v>61</v>
      </c>
      <c r="M8" s="15">
        <v>10.664335664335701</v>
      </c>
      <c r="N8" s="13">
        <v>180</v>
      </c>
      <c r="O8" s="15">
        <v>31.468531468531499</v>
      </c>
      <c r="P8" s="13">
        <v>186</v>
      </c>
      <c r="Q8" s="15">
        <v>32.517482517482499</v>
      </c>
      <c r="R8" s="13">
        <v>0</v>
      </c>
      <c r="S8" s="15">
        <v>0</v>
      </c>
      <c r="T8" s="14">
        <v>15</v>
      </c>
      <c r="U8" s="15">
        <v>2.6223776223776198</v>
      </c>
      <c r="V8" s="13">
        <v>6</v>
      </c>
      <c r="W8" s="15">
        <v>1.0016694490817999</v>
      </c>
      <c r="X8" s="49">
        <v>4221</v>
      </c>
      <c r="Y8" s="50">
        <v>100</v>
      </c>
      <c r="Z8" s="54"/>
    </row>
    <row r="9" spans="1:26">
      <c r="A9" t="s">
        <v>29</v>
      </c>
      <c r="B9" t="s">
        <v>36</v>
      </c>
      <c r="C9" s="27">
        <v>326</v>
      </c>
      <c r="D9" s="28">
        <v>23</v>
      </c>
      <c r="E9" s="29">
        <v>7.1</v>
      </c>
      <c r="F9" s="28">
        <v>303</v>
      </c>
      <c r="G9" s="29">
        <v>92.9</v>
      </c>
      <c r="H9" s="28">
        <v>0</v>
      </c>
      <c r="I9" s="30">
        <v>0</v>
      </c>
      <c r="J9" s="31">
        <v>4</v>
      </c>
      <c r="K9" s="30">
        <v>1.3</v>
      </c>
      <c r="L9" s="31">
        <v>32</v>
      </c>
      <c r="M9" s="30">
        <v>10.6</v>
      </c>
      <c r="N9" s="31">
        <v>111</v>
      </c>
      <c r="O9" s="30">
        <v>36.6</v>
      </c>
      <c r="P9" s="32">
        <v>142</v>
      </c>
      <c r="Q9" s="30">
        <v>46.9</v>
      </c>
      <c r="R9" s="31">
        <v>0</v>
      </c>
      <c r="S9" s="30">
        <v>0</v>
      </c>
      <c r="T9" s="32">
        <v>14</v>
      </c>
      <c r="U9" s="29">
        <v>4.5999999999999996</v>
      </c>
      <c r="V9" s="27">
        <v>16</v>
      </c>
      <c r="W9" s="33">
        <v>4.9000000000000004</v>
      </c>
      <c r="X9" s="34">
        <v>4134</v>
      </c>
      <c r="Y9" s="35">
        <v>99.9</v>
      </c>
    </row>
    <row r="10" spans="1:26">
      <c r="A10" t="s">
        <v>20</v>
      </c>
      <c r="B10" t="s">
        <v>36</v>
      </c>
      <c r="C10" s="16">
        <v>555</v>
      </c>
      <c r="D10" s="17">
        <v>50</v>
      </c>
      <c r="E10" s="22">
        <v>9.0090000000000003</v>
      </c>
      <c r="F10" s="24">
        <v>505</v>
      </c>
      <c r="G10" s="22">
        <v>90.991</v>
      </c>
      <c r="H10" s="24">
        <v>2</v>
      </c>
      <c r="I10" s="18">
        <v>0.39600000000000002</v>
      </c>
      <c r="J10" s="19">
        <v>3</v>
      </c>
      <c r="K10" s="18">
        <v>0.59406000000000003</v>
      </c>
      <c r="L10" s="19">
        <v>80</v>
      </c>
      <c r="M10" s="18">
        <v>15.8416</v>
      </c>
      <c r="N10" s="19">
        <v>231</v>
      </c>
      <c r="O10" s="18">
        <v>45.743000000000002</v>
      </c>
      <c r="P10" s="20">
        <v>181</v>
      </c>
      <c r="Q10" s="18">
        <v>35.841999999999999</v>
      </c>
      <c r="R10" s="19">
        <v>0</v>
      </c>
      <c r="S10" s="18">
        <v>0</v>
      </c>
      <c r="T10" s="21">
        <v>8</v>
      </c>
      <c r="U10" s="22">
        <v>1.5842000000000001</v>
      </c>
      <c r="V10" s="92">
        <v>34</v>
      </c>
      <c r="W10" s="23">
        <v>6.1261000000000001</v>
      </c>
      <c r="X10" s="25">
        <v>4081</v>
      </c>
      <c r="Y10" s="26">
        <v>100</v>
      </c>
      <c r="Z10" s="54"/>
    </row>
    <row r="11" spans="1:26" ht="17" thickBot="1">
      <c r="A11" t="s">
        <v>19</v>
      </c>
      <c r="B11" t="s">
        <v>36</v>
      </c>
      <c r="C11" s="84">
        <v>399</v>
      </c>
      <c r="D11" s="17">
        <v>44</v>
      </c>
      <c r="E11" s="85">
        <v>11</v>
      </c>
      <c r="F11" s="24">
        <v>355</v>
      </c>
      <c r="G11" s="85">
        <v>89</v>
      </c>
      <c r="H11" s="84" t="s">
        <v>35</v>
      </c>
      <c r="I11" s="109" t="s">
        <v>35</v>
      </c>
      <c r="J11" t="s">
        <v>35</v>
      </c>
      <c r="K11" s="109" t="s">
        <v>35</v>
      </c>
      <c r="L11" t="s">
        <v>35</v>
      </c>
      <c r="M11" s="109" t="s">
        <v>35</v>
      </c>
      <c r="N11" t="s">
        <v>35</v>
      </c>
      <c r="O11" s="109" t="s">
        <v>35</v>
      </c>
      <c r="P11" t="s">
        <v>35</v>
      </c>
      <c r="Q11" s="109" t="s">
        <v>35</v>
      </c>
      <c r="R11" t="s">
        <v>35</v>
      </c>
      <c r="S11" s="109" t="s">
        <v>35</v>
      </c>
      <c r="T11" s="91" t="s">
        <v>35</v>
      </c>
      <c r="U11" s="85" t="s">
        <v>35</v>
      </c>
      <c r="V11" s="84" t="s">
        <v>35</v>
      </c>
      <c r="W11" t="s">
        <v>35</v>
      </c>
      <c r="X11" s="25">
        <v>4145</v>
      </c>
      <c r="Y11" s="26">
        <v>100</v>
      </c>
    </row>
    <row r="12" spans="1:26" ht="18" thickTop="1" thickBot="1">
      <c r="A12" t="s">
        <v>34</v>
      </c>
      <c r="B12" t="s">
        <v>36</v>
      </c>
      <c r="C12" s="54">
        <v>74</v>
      </c>
      <c r="D12" s="54">
        <v>6</v>
      </c>
      <c r="E12" s="55">
        <v>8.1</v>
      </c>
      <c r="F12">
        <v>68</v>
      </c>
      <c r="G12">
        <v>91.9</v>
      </c>
      <c r="H12" s="139">
        <v>0</v>
      </c>
      <c r="I12" s="55">
        <v>0</v>
      </c>
      <c r="J12" s="139">
        <v>0</v>
      </c>
      <c r="K12" s="55">
        <v>0</v>
      </c>
      <c r="L12" s="54">
        <v>3</v>
      </c>
      <c r="M12" s="55">
        <v>4.41</v>
      </c>
      <c r="N12" s="54">
        <v>8</v>
      </c>
      <c r="O12" s="55">
        <v>11.76</v>
      </c>
      <c r="P12" s="54">
        <v>50</v>
      </c>
      <c r="Q12" s="55">
        <v>73.53</v>
      </c>
      <c r="R12" s="54">
        <v>0</v>
      </c>
      <c r="S12" s="55">
        <v>0</v>
      </c>
      <c r="T12" s="54">
        <v>7</v>
      </c>
      <c r="U12" s="55">
        <v>10.29</v>
      </c>
      <c r="V12" s="54">
        <v>0</v>
      </c>
      <c r="W12" s="55">
        <v>0</v>
      </c>
      <c r="X12" s="54">
        <v>3366</v>
      </c>
      <c r="Y12" s="55">
        <v>82.74</v>
      </c>
      <c r="Z12" s="54"/>
    </row>
    <row r="13" spans="1:26" ht="17" thickTop="1"/>
    <row r="16" spans="1:26" ht="17" thickBot="1"/>
    <row r="17" spans="1:25" s="2" customFormat="1" ht="25" customHeight="1">
      <c r="A17" s="1"/>
      <c r="B17" s="259" t="s">
        <v>0</v>
      </c>
      <c r="C17" s="261" t="s">
        <v>21</v>
      </c>
      <c r="D17" s="243" t="s">
        <v>4</v>
      </c>
      <c r="E17" s="244"/>
      <c r="F17" s="243" t="s">
        <v>3</v>
      </c>
      <c r="G17" s="244"/>
      <c r="H17" s="263" t="s">
        <v>22</v>
      </c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65"/>
      <c r="V17" s="243" t="s">
        <v>23</v>
      </c>
      <c r="W17" s="244"/>
      <c r="X17" s="252" t="s">
        <v>6</v>
      </c>
      <c r="Y17" s="254" t="s">
        <v>7</v>
      </c>
    </row>
    <row r="18" spans="1:25" s="2" customFormat="1" ht="25" customHeight="1">
      <c r="A18" s="1"/>
      <c r="B18" s="260"/>
      <c r="C18" s="262"/>
      <c r="D18" s="245"/>
      <c r="E18" s="246"/>
      <c r="F18" s="245"/>
      <c r="G18" s="246"/>
      <c r="H18" s="256" t="s">
        <v>8</v>
      </c>
      <c r="I18" s="248"/>
      <c r="J18" s="257" t="s">
        <v>9</v>
      </c>
      <c r="K18" s="248"/>
      <c r="L18" s="247" t="s">
        <v>10</v>
      </c>
      <c r="M18" s="248"/>
      <c r="N18" s="247" t="s">
        <v>11</v>
      </c>
      <c r="O18" s="248"/>
      <c r="P18" s="247" t="s">
        <v>12</v>
      </c>
      <c r="Q18" s="248"/>
      <c r="R18" s="247" t="s">
        <v>13</v>
      </c>
      <c r="S18" s="248"/>
      <c r="T18" s="247" t="s">
        <v>14</v>
      </c>
      <c r="U18" s="258"/>
      <c r="V18" s="245"/>
      <c r="W18" s="246"/>
      <c r="X18" s="253"/>
      <c r="Y18" s="255"/>
    </row>
    <row r="19" spans="1:25" s="2" customFormat="1" ht="15" customHeight="1" thickBot="1">
      <c r="A19" s="1"/>
      <c r="B19" s="3"/>
      <c r="C19" s="4"/>
      <c r="D19" s="5" t="s">
        <v>15</v>
      </c>
      <c r="E19" s="9" t="s">
        <v>17</v>
      </c>
      <c r="F19" s="5" t="s">
        <v>15</v>
      </c>
      <c r="G19" s="9" t="s">
        <v>17</v>
      </c>
      <c r="H19" s="5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6" t="s">
        <v>16</v>
      </c>
      <c r="R19" s="7" t="s">
        <v>15</v>
      </c>
      <c r="S19" s="6" t="s">
        <v>16</v>
      </c>
      <c r="T19" s="7" t="s">
        <v>15</v>
      </c>
      <c r="U19" s="8" t="s">
        <v>16</v>
      </c>
      <c r="V19" s="7" t="s">
        <v>15</v>
      </c>
      <c r="W19" s="9" t="s">
        <v>17</v>
      </c>
      <c r="X19" s="10"/>
      <c r="Y19" s="11"/>
    </row>
    <row r="20" spans="1:25">
      <c r="A20" t="s">
        <v>33</v>
      </c>
      <c r="B20" t="s">
        <v>38</v>
      </c>
      <c r="C20">
        <v>17739</v>
      </c>
      <c r="D20">
        <v>601</v>
      </c>
      <c r="E20">
        <v>3.4</v>
      </c>
      <c r="F20">
        <v>17138</v>
      </c>
      <c r="G20">
        <v>96.6</v>
      </c>
      <c r="H20">
        <v>487</v>
      </c>
      <c r="I20">
        <v>2.7</v>
      </c>
      <c r="J20" t="s">
        <v>35</v>
      </c>
      <c r="L20">
        <v>2943</v>
      </c>
      <c r="M20">
        <v>16.600000000000001</v>
      </c>
      <c r="N20">
        <v>6332</v>
      </c>
      <c r="O20">
        <v>35.700000000000003</v>
      </c>
      <c r="P20">
        <v>7522</v>
      </c>
      <c r="Q20">
        <v>42.4</v>
      </c>
      <c r="V20" t="s">
        <v>35</v>
      </c>
    </row>
    <row r="21" spans="1:25">
      <c r="A21" t="s">
        <v>30</v>
      </c>
      <c r="B21" t="s">
        <v>38</v>
      </c>
      <c r="C21" s="13">
        <v>18917</v>
      </c>
      <c r="D21" s="13">
        <v>1205</v>
      </c>
      <c r="E21" s="15">
        <v>5.23185133726989</v>
      </c>
      <c r="F21" s="13">
        <v>17712</v>
      </c>
      <c r="G21" s="15">
        <v>76.901701979854096</v>
      </c>
      <c r="H21" s="13">
        <v>494</v>
      </c>
      <c r="I21" s="15">
        <v>2.2903240762205002</v>
      </c>
      <c r="J21" s="13">
        <v>115</v>
      </c>
      <c r="K21" s="15">
        <v>0.53317260883675599</v>
      </c>
      <c r="L21" s="13">
        <v>3540</v>
      </c>
      <c r="M21" s="15">
        <v>16.4124437850619</v>
      </c>
      <c r="N21" s="13">
        <v>6041</v>
      </c>
      <c r="O21" s="15">
        <v>28.0077889563726</v>
      </c>
      <c r="P21" s="13">
        <v>6976</v>
      </c>
      <c r="Q21" s="15">
        <v>32.342714080393201</v>
      </c>
      <c r="R21" s="13">
        <v>37</v>
      </c>
      <c r="S21" s="15">
        <v>0.17154249153878301</v>
      </c>
      <c r="T21" s="14">
        <v>509</v>
      </c>
      <c r="U21" s="15">
        <v>2.35986832954704</v>
      </c>
      <c r="V21" s="13">
        <v>1198</v>
      </c>
      <c r="W21" s="15">
        <v>5.2014588398749604</v>
      </c>
      <c r="X21" s="117">
        <v>95635</v>
      </c>
      <c r="Y21" s="15">
        <v>99.857792649134694</v>
      </c>
    </row>
    <row r="22" spans="1:25">
      <c r="A22" t="s">
        <v>29</v>
      </c>
      <c r="B22" t="s">
        <v>38</v>
      </c>
      <c r="C22" s="31">
        <v>21916</v>
      </c>
      <c r="D22" s="31">
        <v>2156</v>
      </c>
      <c r="E22" s="33">
        <v>9.8000000000000007</v>
      </c>
      <c r="F22" s="31">
        <v>19760</v>
      </c>
      <c r="G22" s="33">
        <v>90.2</v>
      </c>
      <c r="H22" s="31">
        <v>309</v>
      </c>
      <c r="I22" s="33">
        <v>1.6</v>
      </c>
      <c r="J22" s="31">
        <v>88</v>
      </c>
      <c r="K22" s="33">
        <v>0.4</v>
      </c>
      <c r="L22" s="31">
        <v>3210</v>
      </c>
      <c r="M22" s="33">
        <v>16.2</v>
      </c>
      <c r="N22" s="31">
        <v>5485</v>
      </c>
      <c r="O22" s="33">
        <v>27.8</v>
      </c>
      <c r="P22" s="31">
        <v>9865</v>
      </c>
      <c r="Q22" s="33">
        <v>49.9</v>
      </c>
      <c r="R22" s="31">
        <v>22</v>
      </c>
      <c r="S22" s="33">
        <v>0.1</v>
      </c>
      <c r="T22" s="31">
        <v>781</v>
      </c>
      <c r="U22" s="33">
        <v>4</v>
      </c>
      <c r="V22" s="31">
        <v>1130</v>
      </c>
      <c r="W22" s="33">
        <v>5.2</v>
      </c>
      <c r="X22" s="161">
        <v>95507</v>
      </c>
      <c r="Y22" s="143">
        <v>99.7</v>
      </c>
    </row>
    <row r="23" spans="1:25" ht="17" thickBot="1">
      <c r="A23" t="s">
        <v>20</v>
      </c>
      <c r="B23" t="s">
        <v>38</v>
      </c>
      <c r="C23" s="19">
        <v>20019</v>
      </c>
      <c r="D23" s="19">
        <v>2382</v>
      </c>
      <c r="E23" s="23">
        <v>11.8987</v>
      </c>
      <c r="F23" s="19">
        <v>17637</v>
      </c>
      <c r="G23" s="23">
        <v>88.100999999999999</v>
      </c>
      <c r="H23" s="19">
        <v>290</v>
      </c>
      <c r="I23" s="23">
        <v>1.6443000000000001</v>
      </c>
      <c r="J23" s="19">
        <v>112</v>
      </c>
      <c r="K23" s="23">
        <v>0.63502999999999998</v>
      </c>
      <c r="L23" s="19">
        <v>3750</v>
      </c>
      <c r="M23" s="23">
        <v>21.2621</v>
      </c>
      <c r="N23" s="20">
        <v>5900</v>
      </c>
      <c r="O23" s="23">
        <v>33.451999999999998</v>
      </c>
      <c r="P23" s="19">
        <v>6945</v>
      </c>
      <c r="Q23" s="23">
        <v>39.377000000000002</v>
      </c>
      <c r="R23" s="20">
        <v>43</v>
      </c>
      <c r="S23" s="23">
        <v>0.24379999999999999</v>
      </c>
      <c r="T23" s="19">
        <v>597</v>
      </c>
      <c r="U23" s="23">
        <v>3.3849</v>
      </c>
      <c r="V23" s="86">
        <v>1393</v>
      </c>
      <c r="W23" s="23">
        <v>6.9584000000000001</v>
      </c>
      <c r="X23" s="87">
        <v>96360</v>
      </c>
      <c r="Y23" s="90">
        <v>99.998000000000005</v>
      </c>
    </row>
    <row r="24" spans="1:25" ht="17" thickBot="1">
      <c r="A24" t="s">
        <v>19</v>
      </c>
      <c r="B24" t="s">
        <v>38</v>
      </c>
      <c r="C24" s="88">
        <v>20309</v>
      </c>
      <c r="D24" s="165">
        <v>2782</v>
      </c>
      <c r="E24" s="85">
        <v>13.7</v>
      </c>
      <c r="F24" s="66">
        <v>17527</v>
      </c>
      <c r="G24" s="85">
        <v>86.3</v>
      </c>
      <c r="H24" s="147" t="s">
        <v>35</v>
      </c>
      <c r="I24" s="109" t="s">
        <v>35</v>
      </c>
      <c r="J24" t="s">
        <v>35</v>
      </c>
      <c r="K24" s="109" t="s">
        <v>35</v>
      </c>
      <c r="L24" t="s">
        <v>35</v>
      </c>
      <c r="M24" s="109" t="s">
        <v>35</v>
      </c>
      <c r="N24" t="s">
        <v>35</v>
      </c>
      <c r="O24" s="109" t="s">
        <v>35</v>
      </c>
      <c r="P24" s="91" t="s">
        <v>35</v>
      </c>
      <c r="Q24" s="109" t="s">
        <v>35</v>
      </c>
      <c r="R24" t="s">
        <v>35</v>
      </c>
      <c r="S24" s="109" t="s">
        <v>35</v>
      </c>
      <c r="T24" s="91" t="s">
        <v>35</v>
      </c>
      <c r="U24" s="85" t="s">
        <v>35</v>
      </c>
      <c r="V24" s="88" t="s">
        <v>35</v>
      </c>
      <c r="W24" t="s">
        <v>35</v>
      </c>
      <c r="X24" s="88"/>
      <c r="Y24" s="91"/>
    </row>
    <row r="25" spans="1:25">
      <c r="A25" t="s">
        <v>34</v>
      </c>
      <c r="B25" t="s">
        <v>38</v>
      </c>
      <c r="C25" s="136">
        <v>5603</v>
      </c>
      <c r="D25" s="146">
        <v>842</v>
      </c>
      <c r="E25" s="166">
        <v>15</v>
      </c>
      <c r="F25" s="147">
        <v>4761</v>
      </c>
      <c r="G25" s="167">
        <v>85</v>
      </c>
      <c r="H25" s="132">
        <v>64</v>
      </c>
      <c r="I25" s="134">
        <v>1.07</v>
      </c>
      <c r="J25" s="54">
        <v>14</v>
      </c>
      <c r="K25" s="134">
        <v>0.28999999999999998</v>
      </c>
      <c r="L25" s="54">
        <v>846</v>
      </c>
      <c r="M25" s="134">
        <v>17.77</v>
      </c>
      <c r="N25" s="54">
        <v>1231</v>
      </c>
      <c r="O25" s="134">
        <v>25.86</v>
      </c>
      <c r="P25" s="54">
        <v>2405</v>
      </c>
      <c r="Q25" s="134">
        <v>50.51</v>
      </c>
      <c r="R25" s="54">
        <v>3</v>
      </c>
      <c r="S25" s="134" t="s">
        <v>39</v>
      </c>
      <c r="T25" s="135">
        <v>198</v>
      </c>
      <c r="U25" s="133">
        <v>4.16</v>
      </c>
      <c r="V25" s="146">
        <v>316</v>
      </c>
      <c r="W25" s="55">
        <v>6.64</v>
      </c>
      <c r="X25" s="136">
        <v>84270</v>
      </c>
      <c r="Y25" s="137">
        <v>88.15</v>
      </c>
    </row>
    <row r="26" spans="1:25">
      <c r="A26">
        <v>2023</v>
      </c>
      <c r="B26" t="s">
        <v>38</v>
      </c>
      <c r="C26" s="84"/>
      <c r="D26" s="84"/>
      <c r="E26" s="85"/>
      <c r="F26" s="84"/>
      <c r="G26" s="85"/>
      <c r="H26" s="84"/>
      <c r="I26" s="109"/>
      <c r="K26" s="109"/>
      <c r="M26" s="109"/>
      <c r="O26" s="109"/>
      <c r="Q26" s="109"/>
      <c r="S26" s="109"/>
      <c r="T26" s="91"/>
      <c r="U26" s="85"/>
      <c r="V26" s="84"/>
      <c r="X26" s="88"/>
      <c r="Y26" s="91"/>
    </row>
    <row r="27" spans="1:25">
      <c r="A27">
        <v>2024</v>
      </c>
      <c r="B27" t="s">
        <v>38</v>
      </c>
      <c r="H27" s="65"/>
      <c r="I27" s="65"/>
      <c r="J27" s="65"/>
      <c r="K27" s="65"/>
      <c r="L27" s="65"/>
      <c r="M27" s="65"/>
      <c r="N27" s="65"/>
      <c r="O27" s="65"/>
      <c r="P27" s="65"/>
    </row>
    <row r="31" spans="1:25" ht="17" thickBot="1">
      <c r="C31" t="s">
        <v>50</v>
      </c>
    </row>
    <row r="32" spans="1:25" ht="18" thickTop="1" thickBot="1">
      <c r="C32" s="70"/>
      <c r="D32" s="70" t="s">
        <v>40</v>
      </c>
      <c r="E32" s="75" t="s">
        <v>9</v>
      </c>
      <c r="F32" s="75" t="s">
        <v>44</v>
      </c>
      <c r="G32" s="75" t="s">
        <v>41</v>
      </c>
      <c r="H32" s="75" t="s">
        <v>12</v>
      </c>
      <c r="I32" t="s">
        <v>45</v>
      </c>
      <c r="J32" t="s">
        <v>14</v>
      </c>
      <c r="K32" t="s">
        <v>42</v>
      </c>
      <c r="L32" s="72"/>
      <c r="M32" s="72"/>
      <c r="N32" s="72"/>
      <c r="O32" s="72"/>
      <c r="P32" s="73"/>
    </row>
    <row r="33" spans="3:16" ht="18" thickTop="1" thickBot="1">
      <c r="C33" t="s">
        <v>33</v>
      </c>
      <c r="D33" s="14"/>
      <c r="E33" s="13"/>
      <c r="F33" s="13"/>
      <c r="G33" s="13"/>
      <c r="H33" s="14"/>
      <c r="I33" s="14"/>
      <c r="J33" s="13"/>
      <c r="K33">
        <v>17</v>
      </c>
      <c r="L33" s="74"/>
      <c r="M33" s="60"/>
      <c r="N33" s="74"/>
      <c r="O33" s="60"/>
      <c r="P33" s="61"/>
    </row>
    <row r="34" spans="3:16" ht="18" thickTop="1" thickBot="1">
      <c r="C34" t="s">
        <v>30</v>
      </c>
      <c r="D34" s="15">
        <v>0.87412587412587395</v>
      </c>
      <c r="E34" s="15">
        <v>0</v>
      </c>
      <c r="F34" s="15">
        <v>10.664335664335701</v>
      </c>
      <c r="G34" s="15">
        <v>31.468531468531499</v>
      </c>
      <c r="H34" s="15">
        <v>32.517482517482499</v>
      </c>
      <c r="I34" s="15">
        <v>0</v>
      </c>
      <c r="J34" s="15">
        <v>2.6223776223776198</v>
      </c>
      <c r="K34" s="15">
        <v>21.4</v>
      </c>
      <c r="L34" s="74"/>
      <c r="M34" s="60"/>
      <c r="N34" s="74"/>
      <c r="O34" s="60"/>
      <c r="P34" s="61"/>
    </row>
    <row r="35" spans="3:16" ht="17" thickTop="1">
      <c r="C35" t="s">
        <v>29</v>
      </c>
      <c r="D35" s="30">
        <v>0</v>
      </c>
      <c r="E35" s="30">
        <v>1.3</v>
      </c>
      <c r="F35" s="30">
        <v>10.6</v>
      </c>
      <c r="G35" s="30">
        <v>36.6</v>
      </c>
      <c r="H35" s="30">
        <v>46.9</v>
      </c>
      <c r="I35" s="30">
        <v>0</v>
      </c>
      <c r="J35" s="29">
        <v>4.5999999999999996</v>
      </c>
      <c r="K35" s="33">
        <v>14.8</v>
      </c>
    </row>
    <row r="36" spans="3:16">
      <c r="C36" t="s">
        <v>20</v>
      </c>
      <c r="D36" s="18">
        <v>0.39600000000000002</v>
      </c>
      <c r="E36" s="18">
        <v>0.59406000000000003</v>
      </c>
      <c r="F36" s="18">
        <v>15.8416</v>
      </c>
      <c r="G36" s="18">
        <v>45.743000000000002</v>
      </c>
      <c r="H36" s="18">
        <v>35.841999999999999</v>
      </c>
      <c r="I36" s="18">
        <v>0</v>
      </c>
      <c r="J36" s="22">
        <v>1.5842000000000001</v>
      </c>
      <c r="K36" s="23">
        <v>25.3</v>
      </c>
    </row>
    <row r="37" spans="3:16">
      <c r="C37" t="s">
        <v>19</v>
      </c>
      <c r="D37" s="109" t="s">
        <v>35</v>
      </c>
      <c r="E37" s="109" t="s">
        <v>35</v>
      </c>
      <c r="F37" s="109" t="s">
        <v>35</v>
      </c>
      <c r="G37" s="109" t="s">
        <v>35</v>
      </c>
      <c r="H37" s="109" t="s">
        <v>35</v>
      </c>
      <c r="I37" s="109" t="s">
        <v>35</v>
      </c>
      <c r="J37" s="85" t="s">
        <v>35</v>
      </c>
      <c r="K37" s="23">
        <v>18.100000000000001</v>
      </c>
    </row>
    <row r="38" spans="3:16">
      <c r="C38" t="s">
        <v>34</v>
      </c>
      <c r="D38" s="55">
        <v>0</v>
      </c>
      <c r="E38" s="55">
        <v>0</v>
      </c>
      <c r="F38" s="55">
        <v>4.41</v>
      </c>
      <c r="G38" s="55">
        <v>11.76</v>
      </c>
      <c r="H38" s="55">
        <v>73.53</v>
      </c>
      <c r="I38" s="55">
        <v>0</v>
      </c>
      <c r="J38" s="55">
        <v>10.29</v>
      </c>
      <c r="K38" s="58">
        <v>3.4</v>
      </c>
    </row>
    <row r="41" spans="3:16" ht="17" thickBot="1"/>
    <row r="42" spans="3:16" ht="43">
      <c r="C42" t="s">
        <v>18</v>
      </c>
      <c r="D42" s="71" t="s">
        <v>64</v>
      </c>
      <c r="E42" s="71" t="s">
        <v>65</v>
      </c>
      <c r="F42" s="177" t="s">
        <v>59</v>
      </c>
    </row>
    <row r="43" spans="3:16">
      <c r="C43" t="s">
        <v>33</v>
      </c>
      <c r="D43">
        <v>374</v>
      </c>
      <c r="E43">
        <v>17739</v>
      </c>
      <c r="F43" s="178">
        <v>2.1000000000000001E-2</v>
      </c>
    </row>
    <row r="44" spans="3:16">
      <c r="C44" t="s">
        <v>30</v>
      </c>
      <c r="D44" s="13">
        <v>470</v>
      </c>
      <c r="E44" s="13">
        <v>18917</v>
      </c>
      <c r="F44" s="178">
        <v>2.5000000000000001E-2</v>
      </c>
      <c r="J44" s="178"/>
    </row>
    <row r="45" spans="3:16">
      <c r="C45" t="s">
        <v>29</v>
      </c>
      <c r="D45" s="27">
        <v>326</v>
      </c>
      <c r="E45" s="31">
        <v>21916</v>
      </c>
      <c r="F45" s="178">
        <v>1.4999999999999999E-2</v>
      </c>
      <c r="K45" s="178"/>
    </row>
    <row r="46" spans="3:16">
      <c r="C46" t="s">
        <v>20</v>
      </c>
      <c r="D46" s="16">
        <v>555</v>
      </c>
      <c r="E46" s="19">
        <v>20019</v>
      </c>
      <c r="F46" s="178">
        <v>2.8000000000000001E-2</v>
      </c>
      <c r="K46" s="178"/>
      <c r="L46" s="65"/>
      <c r="M46" s="65"/>
      <c r="N46" s="178"/>
    </row>
    <row r="47" spans="3:16">
      <c r="C47" t="s">
        <v>19</v>
      </c>
      <c r="D47" s="84">
        <v>399</v>
      </c>
      <c r="E47" s="88">
        <v>20309</v>
      </c>
      <c r="F47" s="178">
        <v>0.02</v>
      </c>
      <c r="K47" s="178"/>
      <c r="L47" s="65"/>
      <c r="M47" s="65"/>
      <c r="N47" s="178"/>
    </row>
    <row r="48" spans="3:16">
      <c r="C48" t="s">
        <v>34</v>
      </c>
      <c r="D48" s="54">
        <v>74</v>
      </c>
      <c r="E48" s="136">
        <v>5603</v>
      </c>
      <c r="F48" s="178">
        <v>1.2999999999999999E-2</v>
      </c>
      <c r="K48" s="178"/>
      <c r="L48" s="65"/>
      <c r="M48" s="65"/>
      <c r="N48" s="178"/>
    </row>
    <row r="49" spans="11:14">
      <c r="K49" s="178"/>
      <c r="L49" s="65"/>
      <c r="M49" s="65"/>
      <c r="N49" s="178"/>
    </row>
    <row r="50" spans="11:14">
      <c r="L50" s="65"/>
      <c r="M50" s="65"/>
      <c r="N50" s="178"/>
    </row>
    <row r="51" spans="11:14">
      <c r="M51" s="65"/>
      <c r="N51" s="178"/>
    </row>
  </sheetData>
  <sortState xmlns:xlrd2="http://schemas.microsoft.com/office/spreadsheetml/2017/richdata2" ref="A19:Z27">
    <sortCondition descending="1" ref="Z19:Z27"/>
  </sortState>
  <mergeCells count="30">
    <mergeCell ref="B4:B5"/>
    <mergeCell ref="C4:C5"/>
    <mergeCell ref="D4:E5"/>
    <mergeCell ref="F4:G5"/>
    <mergeCell ref="H4:U4"/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B17:B18"/>
    <mergeCell ref="C17:C18"/>
    <mergeCell ref="D17:E18"/>
    <mergeCell ref="F17:G18"/>
    <mergeCell ref="H17:U17"/>
    <mergeCell ref="V17:W18"/>
    <mergeCell ref="X17:X18"/>
    <mergeCell ref="Y17:Y18"/>
    <mergeCell ref="H18:I18"/>
    <mergeCell ref="J18:K18"/>
    <mergeCell ref="L18:M18"/>
    <mergeCell ref="N18:O18"/>
    <mergeCell ref="P18:Q18"/>
    <mergeCell ref="R18:S18"/>
    <mergeCell ref="T18:U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Z47"/>
  <sheetViews>
    <sheetView zoomScale="110" zoomScaleNormal="110" workbookViewId="0">
      <selection activeCell="D8" sqref="D8:D12"/>
    </sheetView>
  </sheetViews>
  <sheetFormatPr baseColWidth="10" defaultColWidth="10.83203125" defaultRowHeight="16"/>
  <sheetData>
    <row r="3" spans="1:26" ht="17" thickBot="1"/>
    <row r="4" spans="1:26" s="2" customFormat="1" ht="25" customHeight="1">
      <c r="A4" s="1"/>
      <c r="B4" s="259" t="s">
        <v>0</v>
      </c>
      <c r="C4" s="261" t="s">
        <v>21</v>
      </c>
      <c r="D4" s="243" t="s">
        <v>4</v>
      </c>
      <c r="E4" s="244"/>
      <c r="F4" s="243" t="s">
        <v>3</v>
      </c>
      <c r="G4" s="244"/>
      <c r="H4" s="263" t="s">
        <v>22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4"/>
      <c r="U4" s="265"/>
      <c r="V4" s="243" t="s">
        <v>23</v>
      </c>
      <c r="W4" s="244"/>
      <c r="X4" s="252" t="s">
        <v>6</v>
      </c>
      <c r="Y4" s="254" t="s">
        <v>7</v>
      </c>
    </row>
    <row r="5" spans="1:26" s="2" customFormat="1" ht="25" customHeight="1">
      <c r="A5" s="1"/>
      <c r="B5" s="260"/>
      <c r="C5" s="262"/>
      <c r="D5" s="245"/>
      <c r="E5" s="246"/>
      <c r="F5" s="245"/>
      <c r="G5" s="246"/>
      <c r="H5" s="256" t="s">
        <v>8</v>
      </c>
      <c r="I5" s="248"/>
      <c r="J5" s="257" t="s">
        <v>9</v>
      </c>
      <c r="K5" s="248"/>
      <c r="L5" s="247" t="s">
        <v>10</v>
      </c>
      <c r="M5" s="248"/>
      <c r="N5" s="247" t="s">
        <v>11</v>
      </c>
      <c r="O5" s="248"/>
      <c r="P5" s="247" t="s">
        <v>12</v>
      </c>
      <c r="Q5" s="248"/>
      <c r="R5" s="247" t="s">
        <v>13</v>
      </c>
      <c r="S5" s="248"/>
      <c r="T5" s="247" t="s">
        <v>14</v>
      </c>
      <c r="U5" s="258"/>
      <c r="V5" s="245"/>
      <c r="W5" s="246"/>
      <c r="X5" s="253"/>
      <c r="Y5" s="255"/>
    </row>
    <row r="6" spans="1:26" s="2" customFormat="1" ht="15" customHeight="1" thickBot="1">
      <c r="A6" s="1"/>
      <c r="B6" s="3"/>
      <c r="C6" s="4"/>
      <c r="D6" s="5" t="s">
        <v>15</v>
      </c>
      <c r="E6" s="9" t="s">
        <v>17</v>
      </c>
      <c r="F6" s="5" t="s">
        <v>15</v>
      </c>
      <c r="G6" s="9" t="s">
        <v>17</v>
      </c>
      <c r="H6" s="5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6" t="s">
        <v>16</v>
      </c>
      <c r="R6" s="7" t="s">
        <v>15</v>
      </c>
      <c r="S6" s="6" t="s">
        <v>16</v>
      </c>
      <c r="T6" s="7" t="s">
        <v>15</v>
      </c>
      <c r="U6" s="8" t="s">
        <v>16</v>
      </c>
      <c r="V6" s="7" t="s">
        <v>15</v>
      </c>
      <c r="W6" s="9" t="s">
        <v>17</v>
      </c>
      <c r="X6" s="10"/>
      <c r="Y6" s="11"/>
    </row>
    <row r="7" spans="1:26">
      <c r="A7" t="s">
        <v>33</v>
      </c>
      <c r="B7" t="s">
        <v>36</v>
      </c>
      <c r="C7" s="13">
        <v>88</v>
      </c>
      <c r="D7" s="14">
        <v>3</v>
      </c>
      <c r="E7" s="15">
        <v>3.5</v>
      </c>
      <c r="F7" s="13">
        <v>85</v>
      </c>
      <c r="G7" s="15">
        <v>96.5</v>
      </c>
      <c r="H7" s="14">
        <v>2</v>
      </c>
      <c r="I7" s="15">
        <v>2.2999999999999998</v>
      </c>
      <c r="J7" s="13" t="s">
        <v>35</v>
      </c>
      <c r="K7" s="15"/>
      <c r="L7" s="13" t="s">
        <v>35</v>
      </c>
      <c r="M7" s="15"/>
      <c r="N7" s="13" t="s">
        <v>35</v>
      </c>
      <c r="O7" s="15"/>
      <c r="P7" s="14"/>
      <c r="Q7" s="15"/>
      <c r="R7" s="14"/>
      <c r="S7" s="15"/>
      <c r="T7" s="13"/>
      <c r="U7" s="15"/>
      <c r="V7" s="13">
        <v>0</v>
      </c>
      <c r="W7" s="15"/>
    </row>
    <row r="8" spans="1:26">
      <c r="A8" t="s">
        <v>30</v>
      </c>
      <c r="B8" t="s">
        <v>36</v>
      </c>
      <c r="C8" s="13">
        <v>129</v>
      </c>
      <c r="D8" s="40">
        <v>4</v>
      </c>
      <c r="E8" s="15">
        <v>3.1</v>
      </c>
      <c r="F8" s="40">
        <v>125</v>
      </c>
      <c r="G8" s="15">
        <v>96.9</v>
      </c>
      <c r="H8" s="14" t="s">
        <v>32</v>
      </c>
      <c r="I8" s="15">
        <v>0.34965034965035002</v>
      </c>
      <c r="J8" s="13">
        <v>0</v>
      </c>
      <c r="K8" s="15">
        <v>0</v>
      </c>
      <c r="L8" s="13">
        <v>4</v>
      </c>
      <c r="M8" s="15">
        <v>0.69930069930069905</v>
      </c>
      <c r="N8" s="13">
        <v>39</v>
      </c>
      <c r="O8" s="15">
        <v>6.8181818181818201</v>
      </c>
      <c r="P8" s="14">
        <v>72</v>
      </c>
      <c r="Q8" s="15">
        <v>12.587412587412601</v>
      </c>
      <c r="R8" s="13">
        <v>0</v>
      </c>
      <c r="S8" s="15">
        <v>0</v>
      </c>
      <c r="T8" s="13">
        <v>8</v>
      </c>
      <c r="U8" s="15">
        <v>1.3986013986014001</v>
      </c>
      <c r="V8" s="14">
        <v>0</v>
      </c>
      <c r="W8" s="15">
        <v>0</v>
      </c>
      <c r="X8" s="49">
        <v>4221</v>
      </c>
      <c r="Y8" s="50">
        <v>100</v>
      </c>
      <c r="Z8" s="54"/>
    </row>
    <row r="9" spans="1:26">
      <c r="A9" t="s">
        <v>29</v>
      </c>
      <c r="B9" t="s">
        <v>36</v>
      </c>
      <c r="C9" s="27">
        <v>107</v>
      </c>
      <c r="D9" s="28">
        <v>18</v>
      </c>
      <c r="E9" s="29">
        <v>16.8</v>
      </c>
      <c r="F9" s="28">
        <v>89</v>
      </c>
      <c r="G9" s="29">
        <v>83.2</v>
      </c>
      <c r="H9" s="47">
        <v>0</v>
      </c>
      <c r="I9" s="30">
        <v>0</v>
      </c>
      <c r="J9" s="31">
        <v>0</v>
      </c>
      <c r="K9" s="30">
        <v>0</v>
      </c>
      <c r="L9" s="31" t="s">
        <v>31</v>
      </c>
      <c r="M9" s="30">
        <v>2.2000000000000002</v>
      </c>
      <c r="N9" s="31">
        <v>50</v>
      </c>
      <c r="O9" s="30">
        <v>56.2</v>
      </c>
      <c r="P9" s="32">
        <v>32</v>
      </c>
      <c r="Q9" s="30">
        <v>36</v>
      </c>
      <c r="R9" s="31">
        <v>0</v>
      </c>
      <c r="S9" s="30">
        <v>0</v>
      </c>
      <c r="T9" s="32">
        <v>5</v>
      </c>
      <c r="U9" s="29">
        <v>5.6</v>
      </c>
      <c r="V9" s="27">
        <v>0</v>
      </c>
      <c r="W9" s="33">
        <v>0</v>
      </c>
      <c r="X9" s="34">
        <v>4134</v>
      </c>
      <c r="Y9" s="35">
        <v>99.9</v>
      </c>
    </row>
    <row r="10" spans="1:26">
      <c r="A10" t="s">
        <v>20</v>
      </c>
      <c r="B10" t="s">
        <v>36</v>
      </c>
      <c r="C10" s="16">
        <v>153</v>
      </c>
      <c r="D10" s="17">
        <v>39</v>
      </c>
      <c r="E10" s="22">
        <v>25.490200000000002</v>
      </c>
      <c r="F10" s="24">
        <v>114</v>
      </c>
      <c r="G10" s="22">
        <v>74.510000000000005</v>
      </c>
      <c r="H10" s="24">
        <v>0</v>
      </c>
      <c r="I10" s="18">
        <v>0</v>
      </c>
      <c r="J10" s="19">
        <v>1</v>
      </c>
      <c r="K10" s="18">
        <v>0.87719000000000003</v>
      </c>
      <c r="L10" s="19">
        <v>15</v>
      </c>
      <c r="M10" s="18">
        <v>13.1579</v>
      </c>
      <c r="N10" s="19">
        <v>53</v>
      </c>
      <c r="O10" s="18">
        <v>46.491</v>
      </c>
      <c r="P10" s="20">
        <v>41</v>
      </c>
      <c r="Q10" s="18">
        <v>35.965000000000003</v>
      </c>
      <c r="R10" s="19">
        <v>0</v>
      </c>
      <c r="S10" s="18">
        <v>0</v>
      </c>
      <c r="T10" s="21">
        <v>4</v>
      </c>
      <c r="U10" s="22">
        <v>3.5087999999999999</v>
      </c>
      <c r="V10" s="92">
        <v>4</v>
      </c>
      <c r="W10" s="23">
        <v>2.6143999999999998</v>
      </c>
      <c r="X10" s="25">
        <v>4081</v>
      </c>
      <c r="Y10" s="26">
        <v>100</v>
      </c>
      <c r="Z10" s="54"/>
    </row>
    <row r="11" spans="1:26">
      <c r="A11" t="s">
        <v>19</v>
      </c>
      <c r="B11" t="s">
        <v>36</v>
      </c>
      <c r="C11" s="84">
        <v>107</v>
      </c>
      <c r="D11" s="17">
        <v>9</v>
      </c>
      <c r="E11" s="85">
        <v>8.4</v>
      </c>
      <c r="F11" s="24">
        <v>98</v>
      </c>
      <c r="G11" s="85">
        <v>91.6</v>
      </c>
      <c r="H11" s="84" t="s">
        <v>35</v>
      </c>
      <c r="I11" s="109" t="s">
        <v>35</v>
      </c>
      <c r="J11" t="s">
        <v>35</v>
      </c>
      <c r="K11" s="109" t="s">
        <v>35</v>
      </c>
      <c r="L11" t="s">
        <v>35</v>
      </c>
      <c r="M11" s="109" t="s">
        <v>35</v>
      </c>
      <c r="N11" t="s">
        <v>35</v>
      </c>
      <c r="O11" s="109" t="s">
        <v>35</v>
      </c>
      <c r="P11" t="s">
        <v>35</v>
      </c>
      <c r="Q11" s="109" t="s">
        <v>35</v>
      </c>
      <c r="R11" t="s">
        <v>35</v>
      </c>
      <c r="S11" s="109" t="s">
        <v>35</v>
      </c>
      <c r="T11" s="91" t="s">
        <v>35</v>
      </c>
      <c r="U11" s="85" t="s">
        <v>35</v>
      </c>
      <c r="V11" s="84" t="s">
        <v>35</v>
      </c>
      <c r="W11" t="s">
        <v>35</v>
      </c>
      <c r="X11" s="25">
        <v>4145</v>
      </c>
      <c r="Y11" s="26">
        <v>100</v>
      </c>
    </row>
    <row r="12" spans="1:26">
      <c r="A12" t="s">
        <v>34</v>
      </c>
      <c r="B12" t="s">
        <v>36</v>
      </c>
      <c r="C12" s="54">
        <v>14</v>
      </c>
      <c r="D12" s="54">
        <v>1</v>
      </c>
      <c r="E12" s="58">
        <v>7.14</v>
      </c>
      <c r="F12">
        <v>13</v>
      </c>
      <c r="G12" s="59">
        <v>92.86</v>
      </c>
      <c r="H12" s="54">
        <v>0</v>
      </c>
      <c r="I12" s="55">
        <v>0</v>
      </c>
      <c r="J12" s="54">
        <v>0</v>
      </c>
      <c r="K12" s="55">
        <v>0</v>
      </c>
      <c r="L12" s="54">
        <v>0</v>
      </c>
      <c r="M12" s="55">
        <v>0</v>
      </c>
      <c r="N12" s="54">
        <v>2</v>
      </c>
      <c r="O12" s="55">
        <v>15.38</v>
      </c>
      <c r="P12" s="54">
        <v>9</v>
      </c>
      <c r="Q12" s="55">
        <v>69.23</v>
      </c>
      <c r="R12" s="54">
        <v>0</v>
      </c>
      <c r="S12" s="55">
        <v>0</v>
      </c>
      <c r="T12" s="54">
        <v>2</v>
      </c>
      <c r="U12" s="55">
        <v>15.38</v>
      </c>
      <c r="V12" s="54">
        <v>0</v>
      </c>
      <c r="W12" s="55">
        <v>0</v>
      </c>
      <c r="X12" s="54">
        <v>3366</v>
      </c>
      <c r="Y12" s="55">
        <v>82.74</v>
      </c>
      <c r="Z12" s="54"/>
    </row>
    <row r="15" spans="1:26">
      <c r="H15" s="68"/>
      <c r="I15" s="68"/>
      <c r="J15" s="68"/>
      <c r="K15" s="68"/>
      <c r="L15" s="68"/>
      <c r="M15" s="68"/>
      <c r="N15" s="68"/>
      <c r="O15" s="68"/>
      <c r="P15" s="68"/>
    </row>
    <row r="16" spans="1:26" ht="17" thickBot="1">
      <c r="H16" s="68"/>
      <c r="I16" s="68"/>
      <c r="J16" s="68"/>
      <c r="K16" s="68"/>
      <c r="L16" s="68"/>
      <c r="M16" s="68"/>
      <c r="N16" s="68"/>
      <c r="O16" s="68"/>
      <c r="P16" s="68"/>
    </row>
    <row r="17" spans="1:25" s="2" customFormat="1" ht="25" customHeight="1">
      <c r="A17" s="1"/>
      <c r="B17" s="259" t="s">
        <v>0</v>
      </c>
      <c r="C17" s="261" t="s">
        <v>21</v>
      </c>
      <c r="D17" s="243" t="s">
        <v>4</v>
      </c>
      <c r="E17" s="244"/>
      <c r="F17" s="243" t="s">
        <v>3</v>
      </c>
      <c r="G17" s="244"/>
      <c r="H17" s="263" t="s">
        <v>22</v>
      </c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64"/>
      <c r="U17" s="265"/>
      <c r="V17" s="243" t="s">
        <v>23</v>
      </c>
      <c r="W17" s="244"/>
      <c r="X17" s="252" t="s">
        <v>6</v>
      </c>
      <c r="Y17" s="254" t="s">
        <v>7</v>
      </c>
    </row>
    <row r="18" spans="1:25" s="2" customFormat="1" ht="25" customHeight="1">
      <c r="A18" s="1"/>
      <c r="B18" s="260"/>
      <c r="C18" s="262"/>
      <c r="D18" s="245"/>
      <c r="E18" s="246"/>
      <c r="F18" s="245"/>
      <c r="G18" s="246"/>
      <c r="H18" s="256" t="s">
        <v>8</v>
      </c>
      <c r="I18" s="248"/>
      <c r="J18" s="257" t="s">
        <v>9</v>
      </c>
      <c r="K18" s="248"/>
      <c r="L18" s="247" t="s">
        <v>10</v>
      </c>
      <c r="M18" s="248"/>
      <c r="N18" s="247" t="s">
        <v>11</v>
      </c>
      <c r="O18" s="248"/>
      <c r="P18" s="247" t="s">
        <v>12</v>
      </c>
      <c r="Q18" s="248"/>
      <c r="R18" s="247" t="s">
        <v>13</v>
      </c>
      <c r="S18" s="248"/>
      <c r="T18" s="247" t="s">
        <v>14</v>
      </c>
      <c r="U18" s="258"/>
      <c r="V18" s="245"/>
      <c r="W18" s="246"/>
      <c r="X18" s="253"/>
      <c r="Y18" s="255"/>
    </row>
    <row r="19" spans="1:25" s="2" customFormat="1" ht="15" customHeight="1" thickBot="1">
      <c r="A19" s="1"/>
      <c r="B19" s="3"/>
      <c r="C19" s="4"/>
      <c r="D19" s="5" t="s">
        <v>15</v>
      </c>
      <c r="E19" s="9" t="s">
        <v>17</v>
      </c>
      <c r="F19" s="5" t="s">
        <v>15</v>
      </c>
      <c r="G19" s="9" t="s">
        <v>17</v>
      </c>
      <c r="H19" s="5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6" t="s">
        <v>16</v>
      </c>
      <c r="R19" s="7" t="s">
        <v>15</v>
      </c>
      <c r="S19" s="6" t="s">
        <v>16</v>
      </c>
      <c r="T19" s="7" t="s">
        <v>15</v>
      </c>
      <c r="U19" s="8" t="s">
        <v>16</v>
      </c>
      <c r="V19" s="7" t="s">
        <v>15</v>
      </c>
      <c r="W19" s="9" t="s">
        <v>17</v>
      </c>
      <c r="X19" s="10"/>
      <c r="Y19" s="11"/>
    </row>
    <row r="20" spans="1:25">
      <c r="A20" t="s">
        <v>33</v>
      </c>
      <c r="B20" t="s">
        <v>38</v>
      </c>
      <c r="C20" s="65">
        <v>4923</v>
      </c>
      <c r="D20" s="65">
        <v>103</v>
      </c>
      <c r="E20">
        <v>2.1</v>
      </c>
      <c r="F20" s="65">
        <v>4820</v>
      </c>
      <c r="G20" s="168">
        <v>97.9</v>
      </c>
      <c r="H20" t="s">
        <v>35</v>
      </c>
      <c r="J20" t="s">
        <v>35</v>
      </c>
      <c r="L20">
        <v>413</v>
      </c>
      <c r="M20">
        <v>8.4</v>
      </c>
      <c r="N20">
        <v>1284</v>
      </c>
      <c r="O20">
        <v>26.1</v>
      </c>
      <c r="P20">
        <v>1714</v>
      </c>
      <c r="Q20">
        <v>34.799999999999997</v>
      </c>
      <c r="V20" s="65">
        <v>130</v>
      </c>
      <c r="W20">
        <v>2.6</v>
      </c>
    </row>
    <row r="21" spans="1:25">
      <c r="A21" t="s">
        <v>30</v>
      </c>
      <c r="B21" t="s">
        <v>38</v>
      </c>
      <c r="C21" s="13">
        <v>4115</v>
      </c>
      <c r="D21" s="13">
        <v>258</v>
      </c>
      <c r="E21" s="15">
        <v>1.1201806182702301</v>
      </c>
      <c r="F21" s="13">
        <v>3857</v>
      </c>
      <c r="G21" s="15">
        <v>16.746266064605798</v>
      </c>
      <c r="H21" s="13">
        <v>121</v>
      </c>
      <c r="I21" s="15">
        <v>0.56099031016737</v>
      </c>
      <c r="J21" s="13">
        <v>18</v>
      </c>
      <c r="K21" s="15">
        <v>8.3453103991840097E-2</v>
      </c>
      <c r="L21" s="13">
        <v>617</v>
      </c>
      <c r="M21" s="15">
        <v>2.8605869534980801</v>
      </c>
      <c r="N21" s="13">
        <v>1506</v>
      </c>
      <c r="O21" s="15">
        <v>6.9822430339839601</v>
      </c>
      <c r="P21" s="14">
        <v>1472</v>
      </c>
      <c r="Q21" s="15">
        <v>6.8246093931104799</v>
      </c>
      <c r="R21" s="13">
        <v>10</v>
      </c>
      <c r="S21" s="15">
        <v>4.6362835551022302E-2</v>
      </c>
      <c r="T21" s="13">
        <v>113</v>
      </c>
      <c r="U21" s="15">
        <v>0.52390004172655202</v>
      </c>
      <c r="V21" s="14">
        <v>179</v>
      </c>
      <c r="W21" s="15">
        <v>0.77717957624175105</v>
      </c>
      <c r="X21" s="117">
        <v>95635</v>
      </c>
      <c r="Y21" s="15">
        <v>99.857792649134694</v>
      </c>
    </row>
    <row r="22" spans="1:25">
      <c r="A22" t="s">
        <v>29</v>
      </c>
      <c r="B22" t="s">
        <v>38</v>
      </c>
      <c r="C22" s="31">
        <v>4936</v>
      </c>
      <c r="D22" s="31">
        <v>499</v>
      </c>
      <c r="E22" s="33">
        <v>10.1</v>
      </c>
      <c r="F22" s="31">
        <v>4437</v>
      </c>
      <c r="G22" s="33">
        <v>89.9</v>
      </c>
      <c r="H22" s="31">
        <v>74</v>
      </c>
      <c r="I22" s="33">
        <v>1.7</v>
      </c>
      <c r="J22" s="31">
        <v>18</v>
      </c>
      <c r="K22" s="33">
        <v>0.4</v>
      </c>
      <c r="L22" s="31">
        <v>619</v>
      </c>
      <c r="M22" s="33">
        <v>14</v>
      </c>
      <c r="N22" s="31">
        <v>1388</v>
      </c>
      <c r="O22" s="33">
        <v>31.3</v>
      </c>
      <c r="P22" s="31">
        <v>2127</v>
      </c>
      <c r="Q22" s="33">
        <v>47.9</v>
      </c>
      <c r="R22" s="31">
        <v>6</v>
      </c>
      <c r="S22" s="33">
        <v>0.1</v>
      </c>
      <c r="T22" s="31">
        <v>205</v>
      </c>
      <c r="U22" s="33">
        <v>4.5999999999999996</v>
      </c>
      <c r="V22" s="31">
        <v>222</v>
      </c>
      <c r="W22" s="33">
        <v>4.5</v>
      </c>
      <c r="X22" s="161">
        <v>95507</v>
      </c>
      <c r="Y22" s="143">
        <v>99.7</v>
      </c>
    </row>
    <row r="23" spans="1:25" ht="17" thickBot="1">
      <c r="A23" t="s">
        <v>20</v>
      </c>
      <c r="B23" t="s">
        <v>38</v>
      </c>
      <c r="C23" s="19">
        <v>4879</v>
      </c>
      <c r="D23" s="19">
        <v>667</v>
      </c>
      <c r="E23" s="23">
        <v>13.6708</v>
      </c>
      <c r="F23" s="19">
        <v>4212</v>
      </c>
      <c r="G23" s="23">
        <v>86.328999999999994</v>
      </c>
      <c r="H23" s="19">
        <v>88</v>
      </c>
      <c r="I23" s="23">
        <v>2.0893000000000002</v>
      </c>
      <c r="J23" s="19">
        <v>26</v>
      </c>
      <c r="K23" s="23">
        <v>0.61728000000000005</v>
      </c>
      <c r="L23" s="19">
        <v>825</v>
      </c>
      <c r="M23" s="23">
        <v>19.5869</v>
      </c>
      <c r="N23" s="20">
        <v>1519</v>
      </c>
      <c r="O23" s="23">
        <v>36.064</v>
      </c>
      <c r="P23" s="19">
        <v>1585</v>
      </c>
      <c r="Q23" s="23">
        <v>37.631</v>
      </c>
      <c r="R23" s="20">
        <v>8</v>
      </c>
      <c r="S23" s="23">
        <v>0.19</v>
      </c>
      <c r="T23" s="19">
        <v>161</v>
      </c>
      <c r="U23" s="23">
        <v>3.8224</v>
      </c>
      <c r="V23" s="86">
        <v>258</v>
      </c>
      <c r="W23" s="23">
        <v>5.2880000000000003</v>
      </c>
      <c r="X23" s="87">
        <v>96360</v>
      </c>
      <c r="Y23" s="90">
        <v>99.998000000000005</v>
      </c>
    </row>
    <row r="24" spans="1:25" ht="17" thickBot="1">
      <c r="A24" t="s">
        <v>19</v>
      </c>
      <c r="B24" t="s">
        <v>38</v>
      </c>
      <c r="C24" s="88">
        <v>5105</v>
      </c>
      <c r="D24" s="24">
        <v>753</v>
      </c>
      <c r="E24" s="85">
        <v>14.8</v>
      </c>
      <c r="F24" s="66">
        <v>4352</v>
      </c>
      <c r="G24" s="85">
        <v>85.2</v>
      </c>
      <c r="H24" s="147" t="s">
        <v>35</v>
      </c>
      <c r="I24" s="109" t="s">
        <v>35</v>
      </c>
      <c r="J24" t="s">
        <v>35</v>
      </c>
      <c r="K24" s="109" t="s">
        <v>35</v>
      </c>
      <c r="L24" t="s">
        <v>35</v>
      </c>
      <c r="M24" s="109" t="s">
        <v>35</v>
      </c>
      <c r="N24" t="s">
        <v>35</v>
      </c>
      <c r="O24" s="109" t="s">
        <v>35</v>
      </c>
      <c r="P24" s="91" t="s">
        <v>35</v>
      </c>
      <c r="Q24" s="109" t="s">
        <v>35</v>
      </c>
      <c r="R24" t="s">
        <v>35</v>
      </c>
      <c r="S24" s="109" t="s">
        <v>35</v>
      </c>
      <c r="T24" s="91" t="s">
        <v>35</v>
      </c>
      <c r="U24" s="85" t="s">
        <v>35</v>
      </c>
      <c r="V24" s="88" t="s">
        <v>35</v>
      </c>
      <c r="W24" t="s">
        <v>35</v>
      </c>
      <c r="X24" s="88"/>
      <c r="Y24" s="91"/>
    </row>
    <row r="25" spans="1:25">
      <c r="A25" t="s">
        <v>34</v>
      </c>
      <c r="B25" t="s">
        <v>38</v>
      </c>
      <c r="C25" s="136">
        <v>1459</v>
      </c>
      <c r="D25" s="146">
        <v>239</v>
      </c>
      <c r="E25" s="133">
        <v>16.399999999999999</v>
      </c>
      <c r="F25" s="147">
        <v>1220</v>
      </c>
      <c r="G25" s="85">
        <v>83.6</v>
      </c>
      <c r="H25" s="132">
        <v>6</v>
      </c>
      <c r="I25" s="134" t="s">
        <v>39</v>
      </c>
      <c r="J25" s="54">
        <v>3</v>
      </c>
      <c r="K25" s="134" t="s">
        <v>39</v>
      </c>
      <c r="L25" s="54">
        <v>258</v>
      </c>
      <c r="M25" s="134">
        <v>4.3099999999999996</v>
      </c>
      <c r="N25" s="54">
        <v>318</v>
      </c>
      <c r="O25" s="134">
        <v>5.32</v>
      </c>
      <c r="P25" s="54">
        <v>565</v>
      </c>
      <c r="Q25" s="134">
        <v>9.4499999999999993</v>
      </c>
      <c r="R25" s="54">
        <v>3</v>
      </c>
      <c r="S25" s="134" t="s">
        <v>39</v>
      </c>
      <c r="T25" s="135">
        <v>67</v>
      </c>
      <c r="U25" s="133">
        <v>1.1200000000000001</v>
      </c>
      <c r="V25" s="146">
        <v>94</v>
      </c>
      <c r="W25" s="55">
        <v>1.57</v>
      </c>
      <c r="X25" s="136">
        <v>84270</v>
      </c>
      <c r="Y25" s="137">
        <v>88.15</v>
      </c>
    </row>
    <row r="26" spans="1:25">
      <c r="A26">
        <v>2023</v>
      </c>
      <c r="B26" t="s">
        <v>38</v>
      </c>
      <c r="C26" s="84"/>
      <c r="D26" s="84"/>
      <c r="E26" s="85"/>
      <c r="F26" s="84"/>
      <c r="G26" s="85"/>
      <c r="H26" s="84"/>
      <c r="I26" s="109"/>
      <c r="K26" s="109"/>
      <c r="M26" s="109"/>
      <c r="O26" s="109"/>
      <c r="Q26" s="109"/>
      <c r="S26" s="109"/>
      <c r="T26" s="91"/>
      <c r="U26" s="85"/>
      <c r="V26" s="84"/>
      <c r="X26" s="88"/>
      <c r="Y26" s="91"/>
    </row>
    <row r="27" spans="1:25">
      <c r="A27">
        <v>2024</v>
      </c>
      <c r="B27" t="s">
        <v>38</v>
      </c>
    </row>
    <row r="29" spans="1:25" ht="17" thickBot="1"/>
    <row r="30" spans="1:25" ht="18" thickTop="1" thickBot="1">
      <c r="C30" t="s">
        <v>51</v>
      </c>
      <c r="J30" s="72"/>
      <c r="K30" s="72"/>
      <c r="L30" s="72"/>
      <c r="M30" s="72"/>
      <c r="N30" s="72"/>
      <c r="O30" s="72"/>
      <c r="P30" s="73"/>
    </row>
    <row r="31" spans="1:25" ht="18" thickTop="1" thickBot="1">
      <c r="C31" s="70"/>
      <c r="D31" s="70" t="s">
        <v>40</v>
      </c>
      <c r="E31" s="75" t="s">
        <v>9</v>
      </c>
      <c r="F31" s="75" t="s">
        <v>44</v>
      </c>
      <c r="G31" s="75" t="s">
        <v>41</v>
      </c>
      <c r="H31" s="75" t="s">
        <v>12</v>
      </c>
      <c r="I31" t="s">
        <v>45</v>
      </c>
      <c r="J31" t="s">
        <v>14</v>
      </c>
      <c r="K31" t="s">
        <v>42</v>
      </c>
      <c r="L31" s="74"/>
      <c r="M31" s="60"/>
      <c r="N31" s="74"/>
      <c r="O31" s="60"/>
      <c r="P31" s="61"/>
    </row>
    <row r="32" spans="1:25" ht="18" thickTop="1" thickBot="1">
      <c r="C32" t="s">
        <v>33</v>
      </c>
      <c r="D32" s="15"/>
      <c r="E32" s="15"/>
      <c r="F32" s="15"/>
      <c r="G32" s="15"/>
      <c r="H32" s="15"/>
      <c r="I32" s="15"/>
      <c r="J32" s="15"/>
      <c r="K32">
        <v>14.7</v>
      </c>
      <c r="L32" s="74"/>
      <c r="M32" s="60"/>
      <c r="N32" s="60"/>
      <c r="O32" s="60"/>
      <c r="P32" s="61"/>
    </row>
    <row r="33" spans="3:11" ht="17" thickTop="1">
      <c r="C33" t="s">
        <v>30</v>
      </c>
      <c r="D33" s="15">
        <v>0.34965034965035002</v>
      </c>
      <c r="E33" s="15">
        <v>0</v>
      </c>
      <c r="F33" s="15">
        <v>0.69930069930069905</v>
      </c>
      <c r="G33" s="15">
        <v>6.8181818181818201</v>
      </c>
      <c r="H33" s="15">
        <v>12.587412587412601</v>
      </c>
      <c r="I33" s="15">
        <v>0</v>
      </c>
      <c r="J33" s="15">
        <v>1.3986013986014001</v>
      </c>
      <c r="K33" s="15">
        <v>12.6</v>
      </c>
    </row>
    <row r="34" spans="3:11">
      <c r="C34" t="s">
        <v>29</v>
      </c>
      <c r="D34" s="30">
        <v>0</v>
      </c>
      <c r="E34" s="30">
        <v>0</v>
      </c>
      <c r="F34" s="30">
        <v>2.2000000000000002</v>
      </c>
      <c r="G34" s="30">
        <v>56.2</v>
      </c>
      <c r="H34" s="30">
        <v>36</v>
      </c>
      <c r="I34" s="30">
        <v>0</v>
      </c>
      <c r="J34" s="29">
        <v>5.6</v>
      </c>
      <c r="K34" s="33">
        <v>17.899999999999999</v>
      </c>
    </row>
    <row r="35" spans="3:11">
      <c r="C35" t="s">
        <v>20</v>
      </c>
      <c r="D35" s="18">
        <v>0</v>
      </c>
      <c r="E35" s="18">
        <v>0.87719000000000003</v>
      </c>
      <c r="F35" s="18">
        <v>13.1579</v>
      </c>
      <c r="G35" s="18">
        <v>46.491</v>
      </c>
      <c r="H35" s="18">
        <v>35.965000000000003</v>
      </c>
      <c r="I35" s="18">
        <v>0</v>
      </c>
      <c r="J35" s="22">
        <v>3.5087999999999999</v>
      </c>
      <c r="K35" s="23">
        <v>25.6</v>
      </c>
    </row>
    <row r="36" spans="3:11">
      <c r="C36" t="s">
        <v>19</v>
      </c>
      <c r="D36" s="109" t="s">
        <v>35</v>
      </c>
      <c r="E36" s="109" t="s">
        <v>35</v>
      </c>
      <c r="F36" s="109" t="s">
        <v>35</v>
      </c>
      <c r="G36" s="109" t="s">
        <v>35</v>
      </c>
      <c r="H36" s="109" t="s">
        <v>35</v>
      </c>
      <c r="I36" s="109" t="s">
        <v>35</v>
      </c>
      <c r="J36" s="85" t="s">
        <v>35</v>
      </c>
      <c r="K36" s="23">
        <v>17.899999999999999</v>
      </c>
    </row>
    <row r="37" spans="3:11">
      <c r="C37" t="s">
        <v>34</v>
      </c>
      <c r="D37" s="55">
        <v>0</v>
      </c>
      <c r="E37" s="55">
        <v>0</v>
      </c>
      <c r="F37" s="55">
        <v>0</v>
      </c>
      <c r="G37" s="55">
        <v>15.38</v>
      </c>
      <c r="H37" s="55">
        <v>69.23</v>
      </c>
      <c r="I37" s="55">
        <v>0</v>
      </c>
      <c r="J37" s="55">
        <v>15.38</v>
      </c>
      <c r="K37" s="58">
        <v>2.2999999999999998</v>
      </c>
    </row>
    <row r="40" spans="3:11" ht="17" thickBot="1"/>
    <row r="41" spans="3:11" ht="57">
      <c r="C41" t="s">
        <v>18</v>
      </c>
      <c r="D41" s="71" t="s">
        <v>74</v>
      </c>
      <c r="E41" s="71" t="s">
        <v>75</v>
      </c>
      <c r="F41" s="177" t="s">
        <v>59</v>
      </c>
    </row>
    <row r="42" spans="3:11">
      <c r="C42" t="s">
        <v>33</v>
      </c>
      <c r="D42" s="13">
        <v>88</v>
      </c>
      <c r="E42" s="65">
        <v>4923</v>
      </c>
      <c r="F42" s="178">
        <v>1.7999999999999999E-2</v>
      </c>
    </row>
    <row r="43" spans="3:11">
      <c r="C43" t="s">
        <v>30</v>
      </c>
      <c r="D43" s="13">
        <v>129</v>
      </c>
      <c r="E43" s="13">
        <v>4115</v>
      </c>
      <c r="F43" s="178">
        <v>3.1E-2</v>
      </c>
    </row>
    <row r="44" spans="3:11">
      <c r="C44" t="s">
        <v>29</v>
      </c>
      <c r="D44" s="27">
        <v>107</v>
      </c>
      <c r="E44" s="31">
        <v>4936</v>
      </c>
      <c r="F44" s="178">
        <v>2.1999999999999999E-2</v>
      </c>
    </row>
    <row r="45" spans="3:11">
      <c r="C45" t="s">
        <v>20</v>
      </c>
      <c r="D45" s="16">
        <v>153</v>
      </c>
      <c r="E45" s="19">
        <v>4879</v>
      </c>
      <c r="F45" s="178">
        <v>3.1E-2</v>
      </c>
    </row>
    <row r="46" spans="3:11">
      <c r="C46" t="s">
        <v>19</v>
      </c>
      <c r="D46" s="84">
        <v>107</v>
      </c>
      <c r="E46" s="88">
        <v>5105</v>
      </c>
      <c r="F46" s="178">
        <v>2.1000000000000001E-2</v>
      </c>
    </row>
    <row r="47" spans="3:11">
      <c r="C47" t="s">
        <v>34</v>
      </c>
      <c r="D47" s="54">
        <v>14</v>
      </c>
      <c r="E47" s="136">
        <v>1459</v>
      </c>
      <c r="F47" s="178">
        <v>0.01</v>
      </c>
    </row>
  </sheetData>
  <sortState xmlns:xlrd2="http://schemas.microsoft.com/office/spreadsheetml/2017/richdata2" ref="A19:Z27">
    <sortCondition descending="1" ref="Z19:Z27"/>
  </sortState>
  <mergeCells count="30">
    <mergeCell ref="B4:B5"/>
    <mergeCell ref="C4:C5"/>
    <mergeCell ref="D4:E5"/>
    <mergeCell ref="F4:G5"/>
    <mergeCell ref="H4:U4"/>
    <mergeCell ref="X4:X5"/>
    <mergeCell ref="Y4:Y5"/>
    <mergeCell ref="H5:I5"/>
    <mergeCell ref="J5:K5"/>
    <mergeCell ref="L5:M5"/>
    <mergeCell ref="N5:O5"/>
    <mergeCell ref="P5:Q5"/>
    <mergeCell ref="R5:S5"/>
    <mergeCell ref="T5:U5"/>
    <mergeCell ref="V4:W5"/>
    <mergeCell ref="B17:B18"/>
    <mergeCell ref="C17:C18"/>
    <mergeCell ref="D17:E18"/>
    <mergeCell ref="F17:G18"/>
    <mergeCell ref="H17:U17"/>
    <mergeCell ref="V17:W18"/>
    <mergeCell ref="X17:X18"/>
    <mergeCell ref="Y17:Y18"/>
    <mergeCell ref="H18:I18"/>
    <mergeCell ref="J18:K18"/>
    <mergeCell ref="L18:M18"/>
    <mergeCell ref="N18:O18"/>
    <mergeCell ref="P18:Q18"/>
    <mergeCell ref="R18:S18"/>
    <mergeCell ref="T18:U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W81"/>
  <sheetViews>
    <sheetView workbookViewId="0">
      <selection activeCell="J18" activeCellId="1" sqref="J5:K12 J18:K25"/>
    </sheetView>
  </sheetViews>
  <sheetFormatPr baseColWidth="10" defaultColWidth="10.83203125" defaultRowHeight="16"/>
  <sheetData>
    <row r="3" spans="1:23" ht="17" thickBot="1"/>
    <row r="4" spans="1:23" s="2" customFormat="1" ht="25" customHeight="1">
      <c r="A4" s="1"/>
      <c r="B4" s="259" t="s">
        <v>0</v>
      </c>
      <c r="C4" s="261" t="s">
        <v>24</v>
      </c>
      <c r="D4" s="263" t="s">
        <v>25</v>
      </c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5"/>
      <c r="R4" s="243" t="s">
        <v>26</v>
      </c>
      <c r="S4" s="244"/>
      <c r="T4" s="252" t="s">
        <v>27</v>
      </c>
      <c r="U4" s="254" t="s">
        <v>7</v>
      </c>
    </row>
    <row r="5" spans="1:23" s="2" customFormat="1" ht="25" customHeight="1">
      <c r="A5" s="1"/>
      <c r="B5" s="260"/>
      <c r="C5" s="262"/>
      <c r="D5" s="256" t="s">
        <v>8</v>
      </c>
      <c r="E5" s="248"/>
      <c r="F5" s="257" t="s">
        <v>9</v>
      </c>
      <c r="G5" s="248"/>
      <c r="H5" s="247" t="s">
        <v>10</v>
      </c>
      <c r="I5" s="248"/>
      <c r="J5" s="247" t="s">
        <v>11</v>
      </c>
      <c r="K5" s="248"/>
      <c r="L5" s="247" t="s">
        <v>12</v>
      </c>
      <c r="M5" s="248"/>
      <c r="N5" s="247" t="s">
        <v>13</v>
      </c>
      <c r="O5" s="248"/>
      <c r="P5" s="247" t="s">
        <v>14</v>
      </c>
      <c r="Q5" s="258"/>
      <c r="R5" s="245"/>
      <c r="S5" s="246"/>
      <c r="T5" s="253"/>
      <c r="U5" s="255"/>
    </row>
    <row r="6" spans="1:23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7" t="s">
        <v>15</v>
      </c>
      <c r="S6" s="9" t="s">
        <v>28</v>
      </c>
      <c r="T6" s="10"/>
      <c r="U6" s="11"/>
    </row>
    <row r="7" spans="1:23">
      <c r="A7" t="s">
        <v>33</v>
      </c>
      <c r="B7" t="s">
        <v>36</v>
      </c>
      <c r="C7" s="13">
        <v>2060</v>
      </c>
      <c r="D7" s="14">
        <v>7</v>
      </c>
      <c r="E7" s="15">
        <v>0.3</v>
      </c>
      <c r="F7" s="13">
        <v>7</v>
      </c>
      <c r="G7" s="15">
        <v>0.3</v>
      </c>
      <c r="H7" s="14">
        <v>566</v>
      </c>
      <c r="I7" s="15">
        <v>27.5</v>
      </c>
      <c r="J7" s="13">
        <v>639</v>
      </c>
      <c r="K7" s="15">
        <v>31</v>
      </c>
      <c r="L7" s="13">
        <v>1151</v>
      </c>
      <c r="M7" s="15">
        <v>55.9</v>
      </c>
      <c r="N7" s="170" t="s">
        <v>35</v>
      </c>
      <c r="O7" s="171" t="s">
        <v>35</v>
      </c>
      <c r="P7" s="170" t="s">
        <v>35</v>
      </c>
      <c r="Q7" s="172" t="s">
        <v>35</v>
      </c>
      <c r="R7" s="14">
        <v>57</v>
      </c>
      <c r="S7" s="15"/>
      <c r="T7" s="13"/>
      <c r="U7" s="15"/>
    </row>
    <row r="8" spans="1:23">
      <c r="A8" t="s">
        <v>30</v>
      </c>
      <c r="B8" t="s">
        <v>36</v>
      </c>
      <c r="C8" s="13">
        <v>3113</v>
      </c>
      <c r="D8" s="13">
        <v>10</v>
      </c>
      <c r="E8" s="15">
        <v>0.32123353678124</v>
      </c>
      <c r="F8" s="13">
        <v>12</v>
      </c>
      <c r="G8" s="15">
        <v>0.38548024413748799</v>
      </c>
      <c r="H8" s="13">
        <v>557</v>
      </c>
      <c r="I8" s="15">
        <v>17.8927079987151</v>
      </c>
      <c r="J8" s="13">
        <v>1387</v>
      </c>
      <c r="K8" s="15">
        <v>44.555091551558</v>
      </c>
      <c r="L8" s="13">
        <v>1053</v>
      </c>
      <c r="M8" s="15">
        <v>33.825891423064597</v>
      </c>
      <c r="N8" s="13">
        <v>0</v>
      </c>
      <c r="O8" s="15">
        <v>0</v>
      </c>
      <c r="P8" s="13">
        <v>94</v>
      </c>
      <c r="Q8" s="15">
        <v>3.0195952457436599</v>
      </c>
      <c r="R8" s="13">
        <v>99</v>
      </c>
      <c r="S8" s="15">
        <v>3.18021201413428</v>
      </c>
      <c r="T8" s="49">
        <v>4221</v>
      </c>
      <c r="U8" s="50">
        <v>100</v>
      </c>
      <c r="V8" s="54"/>
    </row>
    <row r="9" spans="1:23">
      <c r="A9" t="s">
        <v>29</v>
      </c>
      <c r="B9" t="s">
        <v>36</v>
      </c>
      <c r="C9" s="36">
        <v>2249</v>
      </c>
      <c r="D9" s="28">
        <v>11</v>
      </c>
      <c r="E9" s="30">
        <v>0.5</v>
      </c>
      <c r="F9" s="31">
        <v>16</v>
      </c>
      <c r="G9" s="30">
        <v>0.7</v>
      </c>
      <c r="H9" s="31">
        <v>194</v>
      </c>
      <c r="I9" s="30">
        <v>8.6</v>
      </c>
      <c r="J9" s="31">
        <v>1049</v>
      </c>
      <c r="K9" s="30">
        <v>46.6</v>
      </c>
      <c r="L9" s="31">
        <v>884</v>
      </c>
      <c r="M9" s="30">
        <v>39.299999999999997</v>
      </c>
      <c r="N9" s="31">
        <v>0</v>
      </c>
      <c r="O9" s="30">
        <v>0</v>
      </c>
      <c r="P9" s="32">
        <v>95</v>
      </c>
      <c r="Q9" s="29">
        <v>4.2</v>
      </c>
      <c r="R9" s="28">
        <v>30</v>
      </c>
      <c r="S9" s="29">
        <v>1.3</v>
      </c>
      <c r="T9" s="37">
        <v>4134</v>
      </c>
      <c r="U9" s="143">
        <v>99.9</v>
      </c>
    </row>
    <row r="10" spans="1:23">
      <c r="A10" t="s">
        <v>20</v>
      </c>
      <c r="B10" t="s">
        <v>36</v>
      </c>
      <c r="C10" s="16">
        <v>2125</v>
      </c>
      <c r="D10" s="17">
        <v>4</v>
      </c>
      <c r="E10" s="18">
        <v>0.18820000000000001</v>
      </c>
      <c r="F10" s="19">
        <v>15</v>
      </c>
      <c r="G10" s="18">
        <v>0.70589999999999997</v>
      </c>
      <c r="H10" s="20">
        <v>355</v>
      </c>
      <c r="I10" s="18">
        <v>16.7059</v>
      </c>
      <c r="J10" s="19">
        <v>986</v>
      </c>
      <c r="K10" s="18">
        <v>46.4</v>
      </c>
      <c r="L10" s="19">
        <v>678</v>
      </c>
      <c r="M10" s="18">
        <v>31.905899999999999</v>
      </c>
      <c r="N10" s="19">
        <v>1</v>
      </c>
      <c r="O10" s="18">
        <v>4.7100000000000003E-2</v>
      </c>
      <c r="P10" s="21">
        <v>86</v>
      </c>
      <c r="Q10" s="22">
        <v>4.0471000000000004</v>
      </c>
      <c r="R10" s="24">
        <v>70</v>
      </c>
      <c r="S10" s="23">
        <v>3.2940999999999998</v>
      </c>
      <c r="T10" s="25">
        <v>4081</v>
      </c>
      <c r="U10" s="144">
        <v>99.706000000000003</v>
      </c>
      <c r="V10" s="54"/>
    </row>
    <row r="11" spans="1:23">
      <c r="A11" t="s">
        <v>19</v>
      </c>
      <c r="B11" t="s">
        <v>36</v>
      </c>
      <c r="C11" s="104">
        <v>1503</v>
      </c>
      <c r="D11" s="104" t="s">
        <v>35</v>
      </c>
      <c r="E11" s="140" t="s">
        <v>35</v>
      </c>
      <c r="F11" s="141" t="s">
        <v>35</v>
      </c>
      <c r="G11" s="140" t="s">
        <v>35</v>
      </c>
      <c r="H11" s="141" t="s">
        <v>35</v>
      </c>
      <c r="I11" s="140" t="s">
        <v>35</v>
      </c>
      <c r="J11" s="141" t="s">
        <v>35</v>
      </c>
      <c r="K11" s="140" t="s">
        <v>35</v>
      </c>
      <c r="L11" s="141" t="s">
        <v>35</v>
      </c>
      <c r="M11" s="140" t="s">
        <v>35</v>
      </c>
      <c r="N11" s="141" t="s">
        <v>35</v>
      </c>
      <c r="O11" s="140" t="s">
        <v>35</v>
      </c>
      <c r="P11" s="142" t="s">
        <v>35</v>
      </c>
      <c r="Q11" s="106" t="s">
        <v>35</v>
      </c>
      <c r="R11" s="104" t="s">
        <v>35</v>
      </c>
      <c r="S11" s="141" t="s">
        <v>35</v>
      </c>
      <c r="T11" s="130">
        <v>4145</v>
      </c>
      <c r="U11" s="131">
        <v>100</v>
      </c>
    </row>
    <row r="12" spans="1:23">
      <c r="A12" t="s">
        <v>34</v>
      </c>
      <c r="B12" t="s">
        <v>36</v>
      </c>
      <c r="C12" s="54">
        <v>314</v>
      </c>
      <c r="D12" s="54">
        <v>0</v>
      </c>
      <c r="E12" s="55">
        <v>0</v>
      </c>
      <c r="F12" s="54">
        <v>2</v>
      </c>
      <c r="G12" s="55">
        <v>0.64</v>
      </c>
      <c r="H12" s="54">
        <v>30</v>
      </c>
      <c r="I12" s="55">
        <v>9.5500000000000007</v>
      </c>
      <c r="J12" s="54">
        <v>48</v>
      </c>
      <c r="K12" s="55">
        <v>15.29</v>
      </c>
      <c r="L12" s="54">
        <v>215</v>
      </c>
      <c r="M12" s="55">
        <v>68.47</v>
      </c>
      <c r="N12" s="54">
        <v>1</v>
      </c>
      <c r="O12" s="55">
        <v>0.32</v>
      </c>
      <c r="P12" s="54">
        <v>18</v>
      </c>
      <c r="Q12" s="55">
        <v>5.73</v>
      </c>
      <c r="R12" s="54">
        <v>12</v>
      </c>
      <c r="S12" s="55">
        <v>3.82</v>
      </c>
      <c r="T12" s="54">
        <v>3369</v>
      </c>
      <c r="U12" s="55">
        <v>82.82</v>
      </c>
      <c r="V12" s="54"/>
      <c r="W12" s="15"/>
    </row>
    <row r="16" spans="1:23" ht="17" thickBot="1"/>
    <row r="17" spans="1:21" s="2" customFormat="1" ht="25" customHeight="1">
      <c r="A17" s="1"/>
      <c r="B17" s="259" t="s">
        <v>0</v>
      </c>
      <c r="C17" s="261" t="s">
        <v>24</v>
      </c>
      <c r="D17" s="263" t="s">
        <v>25</v>
      </c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5"/>
      <c r="R17" s="243" t="s">
        <v>26</v>
      </c>
      <c r="S17" s="244"/>
      <c r="T17" s="252" t="s">
        <v>27</v>
      </c>
      <c r="U17" s="254" t="s">
        <v>7</v>
      </c>
    </row>
    <row r="18" spans="1:21" s="2" customFormat="1" ht="25" customHeight="1">
      <c r="A18" s="1"/>
      <c r="B18" s="260"/>
      <c r="C18" s="262"/>
      <c r="D18" s="256" t="s">
        <v>8</v>
      </c>
      <c r="E18" s="248"/>
      <c r="F18" s="257" t="s">
        <v>9</v>
      </c>
      <c r="G18" s="248"/>
      <c r="H18" s="247" t="s">
        <v>10</v>
      </c>
      <c r="I18" s="248"/>
      <c r="J18" s="247" t="s">
        <v>11</v>
      </c>
      <c r="K18" s="248"/>
      <c r="L18" s="247" t="s">
        <v>12</v>
      </c>
      <c r="M18" s="248"/>
      <c r="N18" s="247" t="s">
        <v>13</v>
      </c>
      <c r="O18" s="248"/>
      <c r="P18" s="247" t="s">
        <v>14</v>
      </c>
      <c r="Q18" s="258"/>
      <c r="R18" s="245"/>
      <c r="S18" s="246"/>
      <c r="T18" s="253"/>
      <c r="U18" s="255"/>
    </row>
    <row r="19" spans="1:21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7" t="s">
        <v>15</v>
      </c>
      <c r="S19" s="9" t="s">
        <v>28</v>
      </c>
      <c r="T19" s="10"/>
      <c r="U19" s="11"/>
    </row>
    <row r="20" spans="1:21" ht="18" thickTop="1" thickBot="1">
      <c r="A20" t="s">
        <v>33</v>
      </c>
      <c r="B20" t="s">
        <v>38</v>
      </c>
      <c r="C20" s="65">
        <v>102680</v>
      </c>
      <c r="D20" s="149">
        <v>1972</v>
      </c>
      <c r="E20" s="153">
        <v>1.9</v>
      </c>
      <c r="F20" s="149">
        <v>6861</v>
      </c>
      <c r="G20" s="153">
        <v>6.7</v>
      </c>
      <c r="H20" s="149">
        <v>22955</v>
      </c>
      <c r="I20" s="153">
        <v>22.4</v>
      </c>
      <c r="J20" s="149">
        <v>39328</v>
      </c>
      <c r="K20" s="153">
        <v>38.299999999999997</v>
      </c>
      <c r="L20" s="158">
        <v>47347</v>
      </c>
      <c r="M20" s="169">
        <v>46.1</v>
      </c>
      <c r="N20" t="s">
        <v>35</v>
      </c>
      <c r="O20" s="109" t="s">
        <v>35</v>
      </c>
      <c r="P20" s="91" t="s">
        <v>35</v>
      </c>
      <c r="Q20" s="85" t="s">
        <v>35</v>
      </c>
      <c r="R20" s="65">
        <v>6292</v>
      </c>
      <c r="S20">
        <v>6.1</v>
      </c>
    </row>
    <row r="21" spans="1:21" ht="18" thickTop="1" thickBot="1">
      <c r="A21" t="s">
        <v>30</v>
      </c>
      <c r="B21" t="s">
        <v>38</v>
      </c>
      <c r="C21" s="13">
        <v>87986</v>
      </c>
      <c r="D21" s="151">
        <v>1828</v>
      </c>
      <c r="E21" s="154">
        <v>2.0776032550633099</v>
      </c>
      <c r="F21" s="151">
        <v>963</v>
      </c>
      <c r="G21" s="154">
        <v>1.0944923055940701</v>
      </c>
      <c r="H21" s="151">
        <v>19539</v>
      </c>
      <c r="I21" s="154">
        <v>22.206942013502101</v>
      </c>
      <c r="J21" s="151">
        <v>31896</v>
      </c>
      <c r="K21" s="154">
        <v>36.251221785284002</v>
      </c>
      <c r="L21" s="159">
        <v>31318</v>
      </c>
      <c r="M21" s="15">
        <v>35.594299093037499</v>
      </c>
      <c r="N21" s="13">
        <v>219</v>
      </c>
      <c r="O21" s="15">
        <v>0.24890323460550501</v>
      </c>
      <c r="P21" s="13">
        <v>2223</v>
      </c>
      <c r="Q21" s="15">
        <v>2.52653831291342</v>
      </c>
      <c r="R21" s="13">
        <v>4648</v>
      </c>
      <c r="S21" s="15">
        <v>5.28265860477803</v>
      </c>
      <c r="T21" s="117">
        <v>95635</v>
      </c>
      <c r="U21" s="15">
        <v>99.872431641135606</v>
      </c>
    </row>
    <row r="22" spans="1:21" ht="17" thickTop="1">
      <c r="A22" t="s">
        <v>29</v>
      </c>
      <c r="B22" t="s">
        <v>38</v>
      </c>
      <c r="C22" s="145">
        <v>84292</v>
      </c>
      <c r="D22" s="31">
        <v>1561</v>
      </c>
      <c r="E22" s="33">
        <v>1.9</v>
      </c>
      <c r="F22" s="31">
        <v>684</v>
      </c>
      <c r="G22" s="33">
        <v>0.8</v>
      </c>
      <c r="H22" s="31">
        <v>14403</v>
      </c>
      <c r="I22" s="33">
        <v>17.100000000000001</v>
      </c>
      <c r="J22" s="31">
        <v>26659</v>
      </c>
      <c r="K22" s="33">
        <v>31.6</v>
      </c>
      <c r="L22" s="31">
        <v>37151</v>
      </c>
      <c r="M22" s="33">
        <v>44.1</v>
      </c>
      <c r="N22" s="31">
        <v>213</v>
      </c>
      <c r="O22" s="33">
        <v>0.3</v>
      </c>
      <c r="P22" s="31">
        <v>3621</v>
      </c>
      <c r="Q22" s="33">
        <v>4.3</v>
      </c>
      <c r="R22" s="31">
        <v>4138</v>
      </c>
      <c r="S22" s="33">
        <v>4.9000000000000004</v>
      </c>
      <c r="T22" s="148">
        <v>95507</v>
      </c>
      <c r="U22" s="143">
        <v>99.7</v>
      </c>
    </row>
    <row r="23" spans="1:21" ht="17" thickBot="1">
      <c r="A23" t="s">
        <v>20</v>
      </c>
      <c r="B23" t="s">
        <v>38</v>
      </c>
      <c r="C23" s="19">
        <v>76263</v>
      </c>
      <c r="D23" s="19">
        <v>1208</v>
      </c>
      <c r="E23" s="23">
        <v>1.5840000000000001</v>
      </c>
      <c r="F23" s="19">
        <v>819</v>
      </c>
      <c r="G23" s="23">
        <v>1.0739000000000001</v>
      </c>
      <c r="H23" s="19">
        <v>16312</v>
      </c>
      <c r="I23" s="23">
        <v>21.389099999999999</v>
      </c>
      <c r="J23" s="19">
        <v>26691</v>
      </c>
      <c r="K23" s="23">
        <v>34.998600000000003</v>
      </c>
      <c r="L23" s="19">
        <v>28126</v>
      </c>
      <c r="M23" s="23">
        <v>36.880299999999998</v>
      </c>
      <c r="N23" s="20">
        <v>262</v>
      </c>
      <c r="O23" s="23">
        <v>0.34350000000000003</v>
      </c>
      <c r="P23" s="19">
        <v>2845</v>
      </c>
      <c r="Q23" s="23">
        <v>3.7305000000000001</v>
      </c>
      <c r="R23" s="19">
        <v>4179</v>
      </c>
      <c r="S23" s="23">
        <v>5.4797000000000002</v>
      </c>
      <c r="T23" s="87">
        <v>96360</v>
      </c>
      <c r="U23" s="23">
        <v>99.986999999999995</v>
      </c>
    </row>
    <row r="24" spans="1:21" ht="17" thickBot="1">
      <c r="A24" t="s">
        <v>19</v>
      </c>
      <c r="B24" t="s">
        <v>38</v>
      </c>
      <c r="C24" s="88">
        <v>76238</v>
      </c>
      <c r="D24" s="84" t="s">
        <v>35</v>
      </c>
      <c r="E24" s="109" t="s">
        <v>35</v>
      </c>
      <c r="F24" t="s">
        <v>35</v>
      </c>
      <c r="G24" s="109" t="s">
        <v>35</v>
      </c>
      <c r="H24" t="s">
        <v>35</v>
      </c>
      <c r="I24" s="109" t="s">
        <v>35</v>
      </c>
      <c r="J24" t="s">
        <v>35</v>
      </c>
      <c r="K24" s="109" t="s">
        <v>35</v>
      </c>
      <c r="L24" t="s">
        <v>35</v>
      </c>
      <c r="M24" s="109" t="s">
        <v>35</v>
      </c>
      <c r="N24" t="s">
        <v>35</v>
      </c>
      <c r="O24" s="109" t="s">
        <v>35</v>
      </c>
      <c r="P24" s="91" t="s">
        <v>35</v>
      </c>
      <c r="Q24" s="85" t="s">
        <v>35</v>
      </c>
      <c r="R24" s="147" t="s">
        <v>35</v>
      </c>
      <c r="S24" s="85" t="s">
        <v>35</v>
      </c>
      <c r="T24" s="88"/>
    </row>
    <row r="25" spans="1:21">
      <c r="A25" t="s">
        <v>34</v>
      </c>
      <c r="B25" t="s">
        <v>38</v>
      </c>
      <c r="C25" s="136">
        <v>22604</v>
      </c>
      <c r="D25" s="132">
        <v>233</v>
      </c>
      <c r="E25" s="134">
        <v>1.03</v>
      </c>
      <c r="F25" s="54">
        <v>196</v>
      </c>
      <c r="G25" s="134">
        <v>0.87</v>
      </c>
      <c r="H25" s="54">
        <v>4573</v>
      </c>
      <c r="I25" s="134">
        <v>20.23</v>
      </c>
      <c r="J25" s="54">
        <v>5943</v>
      </c>
      <c r="K25" s="134">
        <v>26.29</v>
      </c>
      <c r="L25" s="54">
        <v>10523</v>
      </c>
      <c r="M25" s="134">
        <v>46.55</v>
      </c>
      <c r="N25" s="54">
        <v>58</v>
      </c>
      <c r="O25" s="134">
        <v>0.26</v>
      </c>
      <c r="P25" s="135">
        <v>1078</v>
      </c>
      <c r="Q25" s="133">
        <v>4.7699999999999996</v>
      </c>
      <c r="R25" s="146">
        <v>1267</v>
      </c>
      <c r="S25" s="55">
        <v>5.61</v>
      </c>
      <c r="T25" s="136">
        <v>84089</v>
      </c>
      <c r="U25" s="137">
        <v>87.96</v>
      </c>
    </row>
    <row r="26" spans="1:21">
      <c r="A26">
        <v>2023</v>
      </c>
      <c r="B26" t="s">
        <v>38</v>
      </c>
      <c r="C26" s="104"/>
      <c r="D26" s="152"/>
      <c r="E26" s="155"/>
      <c r="F26" s="156"/>
      <c r="G26" s="155"/>
      <c r="H26" s="156"/>
      <c r="I26" s="157"/>
      <c r="J26" s="156"/>
      <c r="K26" s="155"/>
      <c r="L26" s="156"/>
      <c r="M26" s="140"/>
      <c r="N26" s="141"/>
      <c r="O26" s="140"/>
      <c r="P26" s="142"/>
      <c r="Q26" s="106"/>
      <c r="R26" s="104"/>
      <c r="S26" s="141"/>
      <c r="T26" s="160"/>
      <c r="U26" s="142"/>
    </row>
    <row r="27" spans="1:21">
      <c r="A27">
        <v>2024</v>
      </c>
      <c r="B27" t="s">
        <v>38</v>
      </c>
      <c r="D27" s="150"/>
      <c r="E27" s="150"/>
      <c r="F27" s="150"/>
      <c r="G27" s="150"/>
      <c r="H27" s="150"/>
      <c r="I27" s="150"/>
      <c r="J27" s="150"/>
      <c r="K27" s="150"/>
      <c r="L27" s="150"/>
    </row>
    <row r="30" spans="1:21" ht="17" thickBot="1"/>
    <row r="31" spans="1:21" ht="18" thickTop="1" thickBot="1">
      <c r="D31" s="72"/>
      <c r="E31" s="72"/>
      <c r="F31" s="72"/>
      <c r="G31" s="72"/>
      <c r="H31" s="72"/>
      <c r="I31" s="72"/>
      <c r="J31" s="72"/>
      <c r="K31" s="72"/>
      <c r="L31" s="73"/>
    </row>
    <row r="32" spans="1:21" ht="17" thickTop="1">
      <c r="C32" t="s">
        <v>52</v>
      </c>
    </row>
    <row r="33" spans="3:12">
      <c r="C33" s="70"/>
      <c r="D33" s="70" t="s">
        <v>40</v>
      </c>
      <c r="E33" s="75" t="s">
        <v>9</v>
      </c>
      <c r="F33" s="75" t="s">
        <v>44</v>
      </c>
      <c r="G33" s="75" t="s">
        <v>41</v>
      </c>
      <c r="H33" s="75" t="s">
        <v>12</v>
      </c>
      <c r="I33" t="s">
        <v>45</v>
      </c>
      <c r="J33" t="s">
        <v>14</v>
      </c>
      <c r="K33" t="s">
        <v>42</v>
      </c>
    </row>
    <row r="34" spans="3:12" ht="17" thickBot="1">
      <c r="C34" t="s">
        <v>33</v>
      </c>
      <c r="D34" s="15">
        <v>0.3</v>
      </c>
      <c r="E34" s="15">
        <v>0.3</v>
      </c>
      <c r="F34" s="15">
        <v>27.5</v>
      </c>
      <c r="G34" s="15">
        <v>31</v>
      </c>
      <c r="H34" s="15">
        <v>55.9</v>
      </c>
      <c r="I34" s="15"/>
      <c r="J34" s="15"/>
      <c r="K34">
        <v>18.100000000000001</v>
      </c>
    </row>
    <row r="35" spans="3:12" ht="18" thickTop="1" thickBot="1">
      <c r="C35" t="s">
        <v>30</v>
      </c>
      <c r="D35" s="15">
        <v>0.32123353678124</v>
      </c>
      <c r="E35" s="15">
        <v>0.38548024413748799</v>
      </c>
      <c r="F35" s="15">
        <v>17.8927079987151</v>
      </c>
      <c r="G35" s="15">
        <v>44.555091551558</v>
      </c>
      <c r="H35" s="15">
        <v>33.825891423064597</v>
      </c>
      <c r="I35" s="15">
        <v>0</v>
      </c>
      <c r="J35" s="15">
        <v>3.0195952457436599</v>
      </c>
      <c r="K35" s="15">
        <v>27.4</v>
      </c>
      <c r="L35" s="63"/>
    </row>
    <row r="36" spans="3:12" ht="17" thickTop="1">
      <c r="C36" t="s">
        <v>29</v>
      </c>
      <c r="D36" s="30">
        <v>0.5</v>
      </c>
      <c r="E36" s="30">
        <v>0.7</v>
      </c>
      <c r="F36" s="30">
        <v>8.6</v>
      </c>
      <c r="G36" s="30">
        <v>46.6</v>
      </c>
      <c r="H36" s="30">
        <v>39.299999999999997</v>
      </c>
      <c r="I36" s="30">
        <v>0</v>
      </c>
      <c r="J36" s="29">
        <v>4.2</v>
      </c>
      <c r="K36" s="33">
        <v>19.8</v>
      </c>
    </row>
    <row r="37" spans="3:12" ht="17" thickBot="1">
      <c r="C37" t="s">
        <v>20</v>
      </c>
      <c r="D37" s="18">
        <v>0.18820000000000001</v>
      </c>
      <c r="E37" s="18">
        <v>0.70589999999999997</v>
      </c>
      <c r="F37" s="18">
        <v>16.7059</v>
      </c>
      <c r="G37" s="18">
        <v>46.4</v>
      </c>
      <c r="H37" s="18">
        <v>31.905899999999999</v>
      </c>
      <c r="I37" s="18">
        <v>4.7100000000000003E-2</v>
      </c>
      <c r="J37" s="22">
        <v>4.0471000000000004</v>
      </c>
      <c r="K37" s="23">
        <v>18.7</v>
      </c>
    </row>
    <row r="38" spans="3:12" ht="18" thickTop="1" thickBot="1">
      <c r="C38" t="s">
        <v>19</v>
      </c>
      <c r="D38" s="140" t="s">
        <v>35</v>
      </c>
      <c r="E38" s="140" t="s">
        <v>35</v>
      </c>
      <c r="F38" s="140" t="s">
        <v>35</v>
      </c>
      <c r="G38" s="140" t="s">
        <v>35</v>
      </c>
      <c r="H38" s="140" t="s">
        <v>35</v>
      </c>
      <c r="I38" s="140" t="s">
        <v>35</v>
      </c>
      <c r="J38" s="106" t="s">
        <v>35</v>
      </c>
      <c r="K38" s="23">
        <v>13.2</v>
      </c>
      <c r="L38" s="63"/>
    </row>
    <row r="39" spans="3:12" ht="17" thickTop="1">
      <c r="C39" t="s">
        <v>34</v>
      </c>
      <c r="D39" s="55">
        <v>0</v>
      </c>
      <c r="E39" s="55">
        <v>0.64</v>
      </c>
      <c r="F39" s="55">
        <v>9.5500000000000007</v>
      </c>
      <c r="G39" s="55">
        <v>15.29</v>
      </c>
      <c r="H39" s="55">
        <v>68.47</v>
      </c>
      <c r="I39" s="55">
        <v>0.32</v>
      </c>
      <c r="J39" s="55">
        <v>5.73</v>
      </c>
      <c r="K39" s="58">
        <v>2.8</v>
      </c>
      <c r="L39" s="65"/>
    </row>
    <row r="45" spans="3:12">
      <c r="C45" t="s">
        <v>42</v>
      </c>
      <c r="E45" t="s">
        <v>55</v>
      </c>
      <c r="G45" t="s">
        <v>56</v>
      </c>
    </row>
    <row r="46" spans="3:12">
      <c r="C46" s="13">
        <v>2060</v>
      </c>
      <c r="D46" s="176"/>
      <c r="E46" s="13">
        <v>1469</v>
      </c>
      <c r="G46" s="13">
        <v>590</v>
      </c>
    </row>
    <row r="47" spans="3:12">
      <c r="C47" s="13">
        <v>3113</v>
      </c>
      <c r="D47" s="176"/>
      <c r="E47" s="13">
        <v>2192</v>
      </c>
      <c r="G47" s="13">
        <v>921</v>
      </c>
      <c r="K47" s="65"/>
    </row>
    <row r="48" spans="3:12">
      <c r="C48" s="36">
        <v>2249</v>
      </c>
      <c r="D48" s="176"/>
      <c r="E48" s="36">
        <v>1572</v>
      </c>
      <c r="G48" s="36">
        <v>677</v>
      </c>
      <c r="K48" s="65"/>
    </row>
    <row r="49" spans="3:12">
      <c r="C49" s="16">
        <v>2125</v>
      </c>
      <c r="D49" s="176"/>
      <c r="E49" s="16">
        <v>1462</v>
      </c>
      <c r="G49" s="16">
        <v>663</v>
      </c>
      <c r="K49" s="65"/>
    </row>
    <row r="50" spans="3:12">
      <c r="C50" s="104">
        <v>1503</v>
      </c>
      <c r="D50" s="176"/>
      <c r="E50" s="84">
        <v>1011</v>
      </c>
      <c r="G50" s="84">
        <v>492</v>
      </c>
      <c r="K50" s="65"/>
    </row>
    <row r="51" spans="3:12">
      <c r="C51" s="54">
        <v>314</v>
      </c>
      <c r="D51" s="176"/>
      <c r="E51" s="54">
        <v>204</v>
      </c>
      <c r="G51" s="54">
        <v>110</v>
      </c>
      <c r="K51" s="65"/>
    </row>
    <row r="54" spans="3:12">
      <c r="D54" t="s">
        <v>18</v>
      </c>
      <c r="E54" t="s">
        <v>42</v>
      </c>
      <c r="F54" t="s">
        <v>55</v>
      </c>
      <c r="G54" t="s">
        <v>56</v>
      </c>
    </row>
    <row r="55" spans="3:12">
      <c r="D55" t="s">
        <v>33</v>
      </c>
      <c r="E55" s="173">
        <v>0.18099999999999999</v>
      </c>
      <c r="F55" s="173">
        <v>0.71299999999999997</v>
      </c>
      <c r="G55" s="173">
        <v>0.28599999999999998</v>
      </c>
    </row>
    <row r="56" spans="3:12">
      <c r="D56" t="s">
        <v>30</v>
      </c>
      <c r="E56" s="173">
        <v>0.27400000000000002</v>
      </c>
      <c r="F56" s="173">
        <v>0.70399999999999996</v>
      </c>
      <c r="G56" s="173">
        <v>0.29599999999999999</v>
      </c>
    </row>
    <row r="57" spans="3:12">
      <c r="D57" t="s">
        <v>29</v>
      </c>
      <c r="E57" s="173">
        <v>0.19800000000000001</v>
      </c>
      <c r="F57" s="173">
        <v>0.69899999999999995</v>
      </c>
      <c r="G57" s="173">
        <v>0.30099999999999999</v>
      </c>
    </row>
    <row r="58" spans="3:12">
      <c r="D58" t="s">
        <v>20</v>
      </c>
      <c r="E58" s="173">
        <v>0.187</v>
      </c>
      <c r="F58" s="173">
        <v>0.68799999999999994</v>
      </c>
      <c r="G58" s="173">
        <v>0.312</v>
      </c>
    </row>
    <row r="59" spans="3:12">
      <c r="D59" t="s">
        <v>19</v>
      </c>
      <c r="E59" s="173">
        <v>0.13200000000000001</v>
      </c>
      <c r="F59" s="173">
        <v>0.67300000000000004</v>
      </c>
      <c r="G59" s="173">
        <v>0.32700000000000001</v>
      </c>
    </row>
    <row r="60" spans="3:12">
      <c r="D60" t="s">
        <v>34</v>
      </c>
      <c r="E60" s="173">
        <v>2.8000000000000001E-2</v>
      </c>
      <c r="F60" s="173">
        <v>0.65</v>
      </c>
      <c r="G60" s="173">
        <v>0.35</v>
      </c>
    </row>
    <row r="62" spans="3:12" ht="17" thickBot="1"/>
    <row r="63" spans="3:12" ht="43">
      <c r="D63" t="s">
        <v>18</v>
      </c>
      <c r="E63" s="71" t="s">
        <v>62</v>
      </c>
      <c r="F63" s="71" t="s">
        <v>63</v>
      </c>
      <c r="G63" s="177" t="s">
        <v>59</v>
      </c>
      <c r="I63" t="s">
        <v>18</v>
      </c>
      <c r="J63" t="s">
        <v>59</v>
      </c>
      <c r="K63" s="177" t="s">
        <v>76</v>
      </c>
      <c r="L63" s="177" t="s">
        <v>77</v>
      </c>
    </row>
    <row r="64" spans="3:12">
      <c r="D64" t="s">
        <v>33</v>
      </c>
      <c r="E64" s="13">
        <v>2060</v>
      </c>
      <c r="F64" s="65">
        <v>102680</v>
      </c>
      <c r="G64" s="178">
        <v>0.02</v>
      </c>
      <c r="I64" t="s">
        <v>33</v>
      </c>
      <c r="J64" s="178">
        <v>0.02</v>
      </c>
      <c r="K64" s="178">
        <v>1.9E-2</v>
      </c>
      <c r="L64" s="178">
        <v>2.1999999999999999E-2</v>
      </c>
    </row>
    <row r="65" spans="4:14">
      <c r="D65" t="s">
        <v>30</v>
      </c>
      <c r="E65" s="13">
        <v>3113</v>
      </c>
      <c r="F65" s="13">
        <v>87986</v>
      </c>
      <c r="G65" s="178">
        <v>3.5000000000000003E-2</v>
      </c>
      <c r="I65" t="s">
        <v>30</v>
      </c>
      <c r="J65" s="178">
        <v>3.5000000000000003E-2</v>
      </c>
      <c r="K65" s="178">
        <v>3.4000000000000002E-2</v>
      </c>
      <c r="L65" s="178">
        <v>3.9E-2</v>
      </c>
      <c r="M65" s="65"/>
      <c r="N65" s="65"/>
    </row>
    <row r="66" spans="4:14">
      <c r="D66" t="s">
        <v>29</v>
      </c>
      <c r="E66" s="36">
        <v>2249</v>
      </c>
      <c r="F66" s="145">
        <v>84292</v>
      </c>
      <c r="G66" s="178">
        <v>2.7E-2</v>
      </c>
      <c r="I66" t="s">
        <v>29</v>
      </c>
      <c r="J66" s="178">
        <v>2.7E-2</v>
      </c>
      <c r="K66" s="178">
        <v>2.5999999999999999E-2</v>
      </c>
      <c r="L66" s="178">
        <v>2.9000000000000001E-2</v>
      </c>
      <c r="M66" s="65"/>
      <c r="N66" s="65"/>
    </row>
    <row r="67" spans="4:14">
      <c r="D67" t="s">
        <v>20</v>
      </c>
      <c r="E67" s="16">
        <v>2125</v>
      </c>
      <c r="F67" s="19">
        <v>76263</v>
      </c>
      <c r="G67" s="178">
        <v>2.8000000000000001E-2</v>
      </c>
      <c r="I67" t="s">
        <v>20</v>
      </c>
      <c r="J67" s="178">
        <v>2.8000000000000001E-2</v>
      </c>
      <c r="K67" s="178">
        <v>2.7E-2</v>
      </c>
      <c r="L67" s="178">
        <v>0.03</v>
      </c>
      <c r="M67" s="65"/>
      <c r="N67" s="65"/>
    </row>
    <row r="68" spans="4:14">
      <c r="D68" t="s">
        <v>19</v>
      </c>
      <c r="E68" s="104">
        <v>1503</v>
      </c>
      <c r="F68" s="88">
        <v>76238</v>
      </c>
      <c r="G68" s="178">
        <v>0.02</v>
      </c>
      <c r="I68" t="s">
        <v>19</v>
      </c>
      <c r="J68" s="178">
        <v>0.02</v>
      </c>
      <c r="K68" s="178">
        <v>1.9E-2</v>
      </c>
      <c r="L68" s="178">
        <v>2.1999999999999999E-2</v>
      </c>
      <c r="M68" s="65"/>
      <c r="N68" s="65"/>
    </row>
    <row r="69" spans="4:14">
      <c r="D69" t="s">
        <v>34</v>
      </c>
      <c r="E69" s="54">
        <v>314</v>
      </c>
      <c r="F69" s="136">
        <v>22604</v>
      </c>
      <c r="G69" s="178">
        <v>1.4E-2</v>
      </c>
      <c r="I69" t="s">
        <v>34</v>
      </c>
      <c r="J69" s="178">
        <v>1.4E-2</v>
      </c>
      <c r="K69" s="178">
        <v>1.2999999999999999E-2</v>
      </c>
      <c r="L69" s="178">
        <v>1.4999999999999999E-2</v>
      </c>
      <c r="M69" s="65"/>
      <c r="N69" s="65"/>
    </row>
    <row r="70" spans="4:14">
      <c r="N70" s="65"/>
    </row>
    <row r="72" spans="4:14" ht="17" thickBot="1"/>
    <row r="73" spans="4:14">
      <c r="D73" s="243" t="s">
        <v>26</v>
      </c>
      <c r="E73" s="244"/>
      <c r="F73" s="243" t="s">
        <v>26</v>
      </c>
      <c r="G73" s="244"/>
      <c r="H73" s="243" t="s">
        <v>26</v>
      </c>
      <c r="I73" s="244"/>
    </row>
    <row r="74" spans="4:14">
      <c r="D74" s="245"/>
      <c r="E74" s="246"/>
      <c r="F74" s="245"/>
      <c r="G74" s="246"/>
      <c r="H74" s="245"/>
      <c r="I74" s="246"/>
    </row>
    <row r="75" spans="4:14" ht="17" thickBot="1">
      <c r="D75" s="7" t="s">
        <v>15</v>
      </c>
      <c r="E75" s="9" t="s">
        <v>28</v>
      </c>
      <c r="F75" s="7" t="s">
        <v>15</v>
      </c>
      <c r="G75" s="9" t="s">
        <v>28</v>
      </c>
      <c r="H75" s="7" t="s">
        <v>15</v>
      </c>
      <c r="I75" s="9" t="s">
        <v>28</v>
      </c>
    </row>
    <row r="76" spans="4:14">
      <c r="D76" s="14">
        <v>57</v>
      </c>
      <c r="E76" s="15"/>
      <c r="F76" s="14">
        <v>35</v>
      </c>
      <c r="G76" s="15">
        <v>2.4</v>
      </c>
      <c r="H76" s="14">
        <v>21</v>
      </c>
      <c r="I76" s="15">
        <v>3.6</v>
      </c>
    </row>
    <row r="77" spans="4:14">
      <c r="D77" s="13">
        <v>99</v>
      </c>
      <c r="E77" s="15">
        <v>3.18021201413428</v>
      </c>
      <c r="F77" s="13">
        <v>76</v>
      </c>
      <c r="G77" s="15">
        <v>2.4413748795374199</v>
      </c>
      <c r="H77" s="14">
        <v>23</v>
      </c>
      <c r="I77" s="15">
        <v>0.73883713459685196</v>
      </c>
    </row>
    <row r="78" spans="4:14">
      <c r="D78" s="28">
        <v>30</v>
      </c>
      <c r="E78" s="29">
        <v>1.3</v>
      </c>
      <c r="F78" s="28">
        <v>28</v>
      </c>
      <c r="G78" s="29">
        <v>1.8</v>
      </c>
      <c r="H78" s="28" t="s">
        <v>31</v>
      </c>
      <c r="I78" s="29">
        <v>0.3</v>
      </c>
    </row>
    <row r="79" spans="4:14">
      <c r="D79" s="24">
        <v>70</v>
      </c>
      <c r="E79" s="23">
        <v>3.2940999999999998</v>
      </c>
      <c r="F79" s="24">
        <v>56</v>
      </c>
      <c r="G79" s="23">
        <v>3.8304</v>
      </c>
      <c r="H79" s="24">
        <v>14</v>
      </c>
      <c r="I79" s="23">
        <v>2.1116000000000001</v>
      </c>
    </row>
    <row r="80" spans="4:14">
      <c r="D80" s="104" t="s">
        <v>35</v>
      </c>
      <c r="E80" s="141" t="s">
        <v>35</v>
      </c>
      <c r="F80" s="84" t="s">
        <v>35</v>
      </c>
      <c r="G80" t="s">
        <v>35</v>
      </c>
      <c r="H80" s="84" t="s">
        <v>35</v>
      </c>
      <c r="I80" t="s">
        <v>35</v>
      </c>
    </row>
    <row r="81" spans="4:9">
      <c r="D81" s="54">
        <v>12</v>
      </c>
      <c r="E81" s="55">
        <v>3.82</v>
      </c>
      <c r="F81" s="54">
        <v>7</v>
      </c>
      <c r="G81" s="55">
        <v>3.43</v>
      </c>
      <c r="H81" s="54">
        <v>5</v>
      </c>
      <c r="I81" s="55">
        <v>4.55</v>
      </c>
    </row>
  </sheetData>
  <sortState xmlns:xlrd2="http://schemas.microsoft.com/office/spreadsheetml/2017/richdata2" ref="A19:V27">
    <sortCondition descending="1" ref="V19:V27"/>
  </sortState>
  <mergeCells count="29">
    <mergeCell ref="D73:E74"/>
    <mergeCell ref="F73:G74"/>
    <mergeCell ref="H73:I74"/>
    <mergeCell ref="U4:U5"/>
    <mergeCell ref="D5:E5"/>
    <mergeCell ref="F5:G5"/>
    <mergeCell ref="H5:I5"/>
    <mergeCell ref="J5:K5"/>
    <mergeCell ref="L5:M5"/>
    <mergeCell ref="N5:O5"/>
    <mergeCell ref="P5:Q5"/>
    <mergeCell ref="U17:U18"/>
    <mergeCell ref="B4:B5"/>
    <mergeCell ref="C4:C5"/>
    <mergeCell ref="D4:Q4"/>
    <mergeCell ref="R4:S5"/>
    <mergeCell ref="T4:T5"/>
    <mergeCell ref="B17:B18"/>
    <mergeCell ref="C17:C18"/>
    <mergeCell ref="D17:Q17"/>
    <mergeCell ref="R17:S18"/>
    <mergeCell ref="T17:T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W50"/>
  <sheetViews>
    <sheetView workbookViewId="0">
      <selection activeCell="J18" activeCellId="1" sqref="J5:K12 J18:K26"/>
    </sheetView>
  </sheetViews>
  <sheetFormatPr baseColWidth="10" defaultColWidth="10.83203125" defaultRowHeight="16"/>
  <sheetData>
    <row r="3" spans="1:23" ht="17" thickBot="1"/>
    <row r="4" spans="1:23" s="2" customFormat="1" ht="25" customHeight="1">
      <c r="A4" s="1"/>
      <c r="B4" s="259" t="s">
        <v>0</v>
      </c>
      <c r="C4" s="261" t="s">
        <v>24</v>
      </c>
      <c r="D4" s="263" t="s">
        <v>25</v>
      </c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5"/>
      <c r="R4" s="243" t="s">
        <v>26</v>
      </c>
      <c r="S4" s="244"/>
      <c r="T4" s="252" t="s">
        <v>27</v>
      </c>
      <c r="U4" s="254" t="s">
        <v>7</v>
      </c>
    </row>
    <row r="5" spans="1:23" s="2" customFormat="1" ht="25" customHeight="1">
      <c r="A5" s="1"/>
      <c r="B5" s="260"/>
      <c r="C5" s="262"/>
      <c r="D5" s="256" t="s">
        <v>8</v>
      </c>
      <c r="E5" s="248"/>
      <c r="F5" s="257" t="s">
        <v>9</v>
      </c>
      <c r="G5" s="248"/>
      <c r="H5" s="247" t="s">
        <v>10</v>
      </c>
      <c r="I5" s="248"/>
      <c r="J5" s="247" t="s">
        <v>11</v>
      </c>
      <c r="K5" s="248"/>
      <c r="L5" s="247" t="s">
        <v>12</v>
      </c>
      <c r="M5" s="248"/>
      <c r="N5" s="247" t="s">
        <v>13</v>
      </c>
      <c r="O5" s="248"/>
      <c r="P5" s="247" t="s">
        <v>14</v>
      </c>
      <c r="Q5" s="258"/>
      <c r="R5" s="245"/>
      <c r="S5" s="246"/>
      <c r="T5" s="253"/>
      <c r="U5" s="255"/>
    </row>
    <row r="6" spans="1:23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7" t="s">
        <v>15</v>
      </c>
      <c r="S6" s="9" t="s">
        <v>28</v>
      </c>
      <c r="T6" s="10"/>
      <c r="U6" s="11"/>
    </row>
    <row r="7" spans="1:23">
      <c r="A7" t="s">
        <v>33</v>
      </c>
      <c r="B7" t="s">
        <v>36</v>
      </c>
      <c r="C7" s="13">
        <v>1469</v>
      </c>
      <c r="D7" s="14">
        <v>5</v>
      </c>
      <c r="E7" s="15">
        <v>0.3</v>
      </c>
      <c r="F7" s="13" t="s">
        <v>35</v>
      </c>
      <c r="G7" s="15"/>
      <c r="H7" s="14">
        <v>408</v>
      </c>
      <c r="I7" s="15">
        <v>27.7</v>
      </c>
      <c r="J7" s="14">
        <v>469</v>
      </c>
      <c r="K7">
        <v>31.9</v>
      </c>
      <c r="L7" s="13">
        <v>883</v>
      </c>
      <c r="M7" s="15">
        <v>60.1</v>
      </c>
      <c r="N7" s="170" t="s">
        <v>35</v>
      </c>
      <c r="O7" s="171" t="s">
        <v>35</v>
      </c>
      <c r="P7" s="170" t="s">
        <v>35</v>
      </c>
      <c r="Q7" s="172" t="s">
        <v>35</v>
      </c>
      <c r="R7" s="14">
        <v>35</v>
      </c>
      <c r="S7" s="15">
        <v>2.4</v>
      </c>
      <c r="T7" s="13"/>
      <c r="U7" s="15"/>
      <c r="V7" s="13"/>
    </row>
    <row r="8" spans="1:23">
      <c r="A8" t="s">
        <v>30</v>
      </c>
      <c r="B8" t="s">
        <v>36</v>
      </c>
      <c r="C8" s="13">
        <v>2192</v>
      </c>
      <c r="D8" s="13">
        <v>5</v>
      </c>
      <c r="E8" s="15">
        <v>0.16061676839062</v>
      </c>
      <c r="F8" s="14">
        <v>10</v>
      </c>
      <c r="G8" s="15">
        <v>0.32123353678124</v>
      </c>
      <c r="H8" s="13">
        <v>448</v>
      </c>
      <c r="I8" s="15">
        <v>14.3912624477995</v>
      </c>
      <c r="J8" s="13">
        <v>917</v>
      </c>
      <c r="K8" s="15">
        <v>29.457115322839702</v>
      </c>
      <c r="L8" s="13">
        <v>757</v>
      </c>
      <c r="M8" s="15">
        <v>24.317378734339901</v>
      </c>
      <c r="N8" s="14">
        <v>0</v>
      </c>
      <c r="O8" s="15">
        <v>0</v>
      </c>
      <c r="P8" s="14">
        <v>55</v>
      </c>
      <c r="Q8" s="15">
        <v>1.7667844522968199</v>
      </c>
      <c r="R8" s="13">
        <v>76</v>
      </c>
      <c r="S8" s="15">
        <v>2.4413748795374199</v>
      </c>
      <c r="T8" s="49">
        <v>4221</v>
      </c>
      <c r="U8" s="50">
        <v>100</v>
      </c>
      <c r="V8" s="15"/>
    </row>
    <row r="9" spans="1:23">
      <c r="A9" t="s">
        <v>29</v>
      </c>
      <c r="B9" t="s">
        <v>36</v>
      </c>
      <c r="C9" s="36">
        <v>1572</v>
      </c>
      <c r="D9" s="28">
        <v>5</v>
      </c>
      <c r="E9" s="30">
        <v>0.3</v>
      </c>
      <c r="F9" s="31">
        <v>15</v>
      </c>
      <c r="G9" s="30" t="s">
        <v>31</v>
      </c>
      <c r="H9" s="31">
        <v>168</v>
      </c>
      <c r="I9" s="30">
        <v>10.7</v>
      </c>
      <c r="J9" s="31">
        <v>694</v>
      </c>
      <c r="K9" s="30">
        <v>44.1</v>
      </c>
      <c r="L9" s="31">
        <v>631</v>
      </c>
      <c r="M9" s="30">
        <v>40.1</v>
      </c>
      <c r="N9" s="31">
        <v>0</v>
      </c>
      <c r="O9" s="30">
        <v>0</v>
      </c>
      <c r="P9" s="32">
        <v>59</v>
      </c>
      <c r="Q9" s="29">
        <v>3.8</v>
      </c>
      <c r="R9" s="28">
        <v>28</v>
      </c>
      <c r="S9" s="29">
        <v>1.8</v>
      </c>
      <c r="T9" s="37">
        <v>4134</v>
      </c>
      <c r="U9" s="143">
        <v>99.9</v>
      </c>
    </row>
    <row r="10" spans="1:23">
      <c r="A10" t="s">
        <v>20</v>
      </c>
      <c r="B10" t="s">
        <v>36</v>
      </c>
      <c r="C10" s="16">
        <v>1462</v>
      </c>
      <c r="D10" s="17">
        <v>4</v>
      </c>
      <c r="E10" s="18">
        <v>0.27360000000000001</v>
      </c>
      <c r="F10" s="19">
        <v>14</v>
      </c>
      <c r="G10" s="18">
        <v>0.95760000000000001</v>
      </c>
      <c r="H10" s="20">
        <v>267</v>
      </c>
      <c r="I10" s="18">
        <v>18.262699999999999</v>
      </c>
      <c r="J10" s="19">
        <v>595</v>
      </c>
      <c r="K10" s="18">
        <v>40.697699999999998</v>
      </c>
      <c r="L10" s="19">
        <v>522</v>
      </c>
      <c r="M10" s="18">
        <v>35.704500000000003</v>
      </c>
      <c r="N10" s="19">
        <v>1</v>
      </c>
      <c r="O10" s="18">
        <v>6.8400000000000002E-2</v>
      </c>
      <c r="P10" s="21">
        <v>59</v>
      </c>
      <c r="Q10" s="22">
        <v>4.0355699999999999</v>
      </c>
      <c r="R10" s="24">
        <v>56</v>
      </c>
      <c r="S10" s="23">
        <v>3.8304</v>
      </c>
      <c r="T10" s="25">
        <v>4081</v>
      </c>
      <c r="U10" s="144">
        <v>99.706000000000003</v>
      </c>
      <c r="V10" s="23"/>
    </row>
    <row r="11" spans="1:23">
      <c r="A11" t="s">
        <v>19</v>
      </c>
      <c r="B11" t="s">
        <v>36</v>
      </c>
      <c r="C11" s="84">
        <v>1011</v>
      </c>
      <c r="D11" s="84" t="s">
        <v>35</v>
      </c>
      <c r="E11" s="109" t="s">
        <v>35</v>
      </c>
      <c r="F11" t="s">
        <v>35</v>
      </c>
      <c r="G11" s="109" t="s">
        <v>35</v>
      </c>
      <c r="H11" t="s">
        <v>35</v>
      </c>
      <c r="I11" s="109" t="s">
        <v>35</v>
      </c>
      <c r="J11" t="s">
        <v>35</v>
      </c>
      <c r="K11" s="109" t="s">
        <v>35</v>
      </c>
      <c r="L11" t="s">
        <v>35</v>
      </c>
      <c r="M11" s="109" t="s">
        <v>35</v>
      </c>
      <c r="N11" t="s">
        <v>35</v>
      </c>
      <c r="O11" s="109" t="s">
        <v>35</v>
      </c>
      <c r="P11" s="91" t="s">
        <v>35</v>
      </c>
      <c r="Q11" s="85" t="s">
        <v>35</v>
      </c>
      <c r="R11" s="84" t="s">
        <v>35</v>
      </c>
      <c r="S11" t="s">
        <v>35</v>
      </c>
      <c r="T11" s="25">
        <v>4145</v>
      </c>
      <c r="U11" s="26">
        <v>100</v>
      </c>
    </row>
    <row r="12" spans="1:23">
      <c r="A12" t="s">
        <v>34</v>
      </c>
      <c r="B12" t="s">
        <v>36</v>
      </c>
      <c r="C12" s="54">
        <v>204</v>
      </c>
      <c r="D12" s="54">
        <v>0</v>
      </c>
      <c r="E12" s="55">
        <v>0</v>
      </c>
      <c r="F12" s="54">
        <v>1</v>
      </c>
      <c r="G12" s="55">
        <v>0.49</v>
      </c>
      <c r="H12" s="54">
        <v>23</v>
      </c>
      <c r="I12" s="55">
        <v>11.27</v>
      </c>
      <c r="J12" s="54">
        <v>29</v>
      </c>
      <c r="K12" s="55">
        <v>14.22</v>
      </c>
      <c r="L12" s="54">
        <v>142</v>
      </c>
      <c r="M12" s="55">
        <v>69.61</v>
      </c>
      <c r="N12" s="54">
        <v>1</v>
      </c>
      <c r="O12" s="55">
        <v>0.49</v>
      </c>
      <c r="P12" s="54">
        <v>8</v>
      </c>
      <c r="Q12" s="55">
        <v>3.92</v>
      </c>
      <c r="R12" s="54">
        <v>7</v>
      </c>
      <c r="S12" s="55">
        <v>3.43</v>
      </c>
      <c r="T12" s="54">
        <v>3369</v>
      </c>
      <c r="U12" s="55">
        <v>82.82</v>
      </c>
      <c r="V12" s="54"/>
      <c r="W12" s="15"/>
    </row>
    <row r="15" spans="1:23" ht="17" thickBot="1"/>
    <row r="16" spans="1:23" ht="18" thickTop="1" thickBot="1">
      <c r="D16" s="60"/>
      <c r="E16" s="60"/>
      <c r="F16" s="60"/>
      <c r="G16" s="60"/>
      <c r="H16" s="60"/>
      <c r="I16" s="60"/>
      <c r="J16" s="60"/>
      <c r="K16" s="60"/>
      <c r="L16" s="61"/>
    </row>
    <row r="17" spans="1:21" s="2" customFormat="1" ht="25" customHeight="1" thickTop="1">
      <c r="A17" s="1"/>
      <c r="B17" s="259" t="s">
        <v>0</v>
      </c>
      <c r="C17" s="261" t="s">
        <v>24</v>
      </c>
      <c r="D17" s="263" t="s">
        <v>25</v>
      </c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5"/>
      <c r="R17" s="243" t="s">
        <v>26</v>
      </c>
      <c r="S17" s="244"/>
      <c r="T17" s="252" t="s">
        <v>27</v>
      </c>
      <c r="U17" s="254" t="s">
        <v>7</v>
      </c>
    </row>
    <row r="18" spans="1:21" s="2" customFormat="1" ht="25" customHeight="1">
      <c r="A18" s="1"/>
      <c r="B18" s="260"/>
      <c r="C18" s="262"/>
      <c r="D18" s="256" t="s">
        <v>8</v>
      </c>
      <c r="E18" s="248"/>
      <c r="F18" s="257" t="s">
        <v>9</v>
      </c>
      <c r="G18" s="248"/>
      <c r="H18" s="247" t="s">
        <v>10</v>
      </c>
      <c r="I18" s="248"/>
      <c r="J18" s="247" t="s">
        <v>11</v>
      </c>
      <c r="K18" s="248"/>
      <c r="L18" s="247" t="s">
        <v>12</v>
      </c>
      <c r="M18" s="248"/>
      <c r="N18" s="247" t="s">
        <v>13</v>
      </c>
      <c r="O18" s="248"/>
      <c r="P18" s="247" t="s">
        <v>14</v>
      </c>
      <c r="Q18" s="258"/>
      <c r="R18" s="245"/>
      <c r="S18" s="246"/>
      <c r="T18" s="253"/>
      <c r="U18" s="255"/>
    </row>
    <row r="19" spans="1:21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7" t="s">
        <v>15</v>
      </c>
      <c r="S19" s="9" t="s">
        <v>28</v>
      </c>
      <c r="T19" s="10"/>
      <c r="U19" s="11"/>
    </row>
    <row r="20" spans="1:21">
      <c r="A20" t="s">
        <v>33</v>
      </c>
      <c r="B20" t="s">
        <v>38</v>
      </c>
      <c r="C20" s="65">
        <v>75556</v>
      </c>
      <c r="D20" s="65">
        <v>1384</v>
      </c>
      <c r="E20">
        <v>1.8</v>
      </c>
      <c r="F20" s="65">
        <v>4427</v>
      </c>
      <c r="G20" s="65">
        <v>5.9</v>
      </c>
      <c r="H20" s="65">
        <v>17656</v>
      </c>
      <c r="I20" s="168">
        <v>23.4</v>
      </c>
      <c r="J20" s="65">
        <v>28689</v>
      </c>
      <c r="K20" s="168">
        <v>38</v>
      </c>
      <c r="L20" s="65">
        <v>36994</v>
      </c>
      <c r="M20" s="168">
        <v>49</v>
      </c>
      <c r="N20" t="s">
        <v>35</v>
      </c>
      <c r="O20" s="109" t="s">
        <v>35</v>
      </c>
      <c r="P20" s="91" t="s">
        <v>35</v>
      </c>
      <c r="Q20" s="85" t="s">
        <v>35</v>
      </c>
      <c r="R20" s="65">
        <v>5046</v>
      </c>
      <c r="S20">
        <v>6.7</v>
      </c>
    </row>
    <row r="21" spans="1:21">
      <c r="A21" t="s">
        <v>30</v>
      </c>
      <c r="B21" t="s">
        <v>38</v>
      </c>
      <c r="C21" s="13">
        <v>64366</v>
      </c>
      <c r="D21" s="13">
        <v>1251</v>
      </c>
      <c r="E21" s="15">
        <v>1.42181710726707</v>
      </c>
      <c r="F21" s="14">
        <v>772</v>
      </c>
      <c r="G21" s="15">
        <v>0.87741231559566302</v>
      </c>
      <c r="H21" s="13">
        <v>14968</v>
      </c>
      <c r="I21" s="15">
        <v>17.011797331393598</v>
      </c>
      <c r="J21" s="13">
        <v>21944</v>
      </c>
      <c r="K21" s="15">
        <v>24.940331416361701</v>
      </c>
      <c r="L21" s="13">
        <v>23724</v>
      </c>
      <c r="M21" s="15">
        <v>26.9633805378128</v>
      </c>
      <c r="N21" s="14">
        <v>160</v>
      </c>
      <c r="O21" s="15">
        <v>0.18184711204055201</v>
      </c>
      <c r="P21" s="14">
        <v>1547</v>
      </c>
      <c r="Q21" s="15">
        <v>1.7582342645420901</v>
      </c>
      <c r="R21" s="13">
        <v>3799</v>
      </c>
      <c r="S21" s="15">
        <v>4.3177323665128498</v>
      </c>
      <c r="T21" s="117">
        <v>95635</v>
      </c>
      <c r="U21" s="15">
        <v>99.872431641135606</v>
      </c>
    </row>
    <row r="22" spans="1:21">
      <c r="A22" t="s">
        <v>29</v>
      </c>
      <c r="B22" t="s">
        <v>38</v>
      </c>
      <c r="C22" s="145">
        <v>60820</v>
      </c>
      <c r="D22" s="31">
        <v>1034</v>
      </c>
      <c r="E22" s="33">
        <v>1.7</v>
      </c>
      <c r="F22" s="31">
        <v>577</v>
      </c>
      <c r="G22" s="33">
        <v>0.9</v>
      </c>
      <c r="H22" s="31">
        <v>10927</v>
      </c>
      <c r="I22" s="33">
        <v>18</v>
      </c>
      <c r="J22" s="31">
        <v>18223</v>
      </c>
      <c r="K22" s="33">
        <v>30</v>
      </c>
      <c r="L22" s="31">
        <v>27474</v>
      </c>
      <c r="M22" s="33">
        <v>45.2</v>
      </c>
      <c r="N22" s="31">
        <v>145</v>
      </c>
      <c r="O22" s="33">
        <v>0.2</v>
      </c>
      <c r="P22" s="31">
        <v>2440</v>
      </c>
      <c r="Q22" s="33">
        <v>4</v>
      </c>
      <c r="R22" s="31">
        <v>3321</v>
      </c>
      <c r="S22" s="33">
        <v>5.5</v>
      </c>
      <c r="T22" s="148">
        <v>95507</v>
      </c>
      <c r="U22" s="143">
        <v>99.7</v>
      </c>
    </row>
    <row r="23" spans="1:21" ht="17" thickBot="1">
      <c r="A23" t="s">
        <v>20</v>
      </c>
      <c r="B23" t="s">
        <v>38</v>
      </c>
      <c r="C23" s="19">
        <v>54032</v>
      </c>
      <c r="D23" s="19">
        <v>822</v>
      </c>
      <c r="E23" s="23">
        <v>1.5213000000000001</v>
      </c>
      <c r="F23" s="19">
        <v>626</v>
      </c>
      <c r="G23" s="23">
        <v>1.1586000000000001</v>
      </c>
      <c r="H23" s="19">
        <v>11879</v>
      </c>
      <c r="I23" s="23">
        <v>21.985099999999999</v>
      </c>
      <c r="J23" s="19">
        <v>17916</v>
      </c>
      <c r="K23" s="23">
        <v>33.158099999999997</v>
      </c>
      <c r="L23" s="19">
        <v>20654</v>
      </c>
      <c r="M23" s="23">
        <v>38.225499999999997</v>
      </c>
      <c r="N23" s="20">
        <v>171</v>
      </c>
      <c r="O23" s="23">
        <v>0.3165</v>
      </c>
      <c r="P23" s="19">
        <v>1964</v>
      </c>
      <c r="Q23" s="23">
        <v>3.6348799999999999</v>
      </c>
      <c r="R23" s="19">
        <v>3269</v>
      </c>
      <c r="S23" s="23">
        <v>6.0500999999999996</v>
      </c>
      <c r="T23" s="87">
        <v>96360</v>
      </c>
      <c r="U23" s="23">
        <v>99.986999999999995</v>
      </c>
    </row>
    <row r="24" spans="1:21" ht="17" thickBot="1">
      <c r="A24" t="s">
        <v>19</v>
      </c>
      <c r="B24" t="s">
        <v>38</v>
      </c>
      <c r="C24" s="88">
        <v>53633</v>
      </c>
      <c r="D24" s="84" t="s">
        <v>35</v>
      </c>
      <c r="E24" s="109" t="s">
        <v>35</v>
      </c>
      <c r="F24" t="s">
        <v>35</v>
      </c>
      <c r="G24" s="109" t="s">
        <v>35</v>
      </c>
      <c r="H24" t="s">
        <v>35</v>
      </c>
      <c r="I24" s="109" t="s">
        <v>35</v>
      </c>
      <c r="J24" t="s">
        <v>35</v>
      </c>
      <c r="K24" s="109" t="s">
        <v>35</v>
      </c>
      <c r="L24" t="s">
        <v>35</v>
      </c>
      <c r="M24" s="109" t="s">
        <v>35</v>
      </c>
      <c r="N24" t="s">
        <v>35</v>
      </c>
      <c r="O24" s="109" t="s">
        <v>35</v>
      </c>
      <c r="P24" s="91" t="s">
        <v>35</v>
      </c>
      <c r="Q24" s="85" t="s">
        <v>35</v>
      </c>
      <c r="R24" s="147" t="s">
        <v>35</v>
      </c>
      <c r="S24" s="85" t="s">
        <v>35</v>
      </c>
      <c r="T24" s="88"/>
    </row>
    <row r="25" spans="1:21">
      <c r="A25" t="s">
        <v>34</v>
      </c>
      <c r="B25" t="s">
        <v>38</v>
      </c>
      <c r="C25" s="136">
        <v>15414</v>
      </c>
      <c r="D25" s="132">
        <v>163</v>
      </c>
      <c r="E25" s="134">
        <v>0.72</v>
      </c>
      <c r="F25" s="54">
        <v>144</v>
      </c>
      <c r="G25" s="134">
        <v>0.93</v>
      </c>
      <c r="H25" s="54">
        <v>3110</v>
      </c>
      <c r="I25" s="134">
        <v>20.18</v>
      </c>
      <c r="J25" s="54">
        <v>3972</v>
      </c>
      <c r="K25" s="134">
        <v>25.77</v>
      </c>
      <c r="L25" s="54">
        <v>7326</v>
      </c>
      <c r="M25" s="134">
        <v>47.53</v>
      </c>
      <c r="N25" s="54">
        <v>37</v>
      </c>
      <c r="O25" s="134">
        <v>0.24</v>
      </c>
      <c r="P25" s="135">
        <v>662</v>
      </c>
      <c r="Q25" s="133">
        <v>4.29</v>
      </c>
      <c r="R25" s="146">
        <v>935</v>
      </c>
      <c r="S25" s="55">
        <v>6.07</v>
      </c>
      <c r="T25" s="136">
        <v>84089</v>
      </c>
      <c r="U25" s="137">
        <v>87.96</v>
      </c>
    </row>
    <row r="26" spans="1:21">
      <c r="A26">
        <v>2023</v>
      </c>
      <c r="B26" t="s">
        <v>38</v>
      </c>
      <c r="C26" s="84"/>
      <c r="D26" s="84"/>
      <c r="E26" s="109"/>
      <c r="G26" s="109"/>
      <c r="I26" s="109"/>
      <c r="K26" s="109"/>
      <c r="M26" s="109"/>
      <c r="O26" s="109"/>
      <c r="P26" s="91"/>
      <c r="Q26" s="85"/>
      <c r="R26" s="84"/>
      <c r="T26" s="88"/>
      <c r="U26" s="91"/>
    </row>
    <row r="27" spans="1:21">
      <c r="A27">
        <v>2024</v>
      </c>
      <c r="B27" t="s">
        <v>38</v>
      </c>
    </row>
    <row r="29" spans="1:21" ht="17" thickBot="1"/>
    <row r="30" spans="1:21" ht="18" thickTop="1" thickBot="1">
      <c r="C30" t="s">
        <v>53</v>
      </c>
      <c r="J30" s="72"/>
      <c r="K30" s="72"/>
      <c r="L30" s="73"/>
    </row>
    <row r="31" spans="1:21" ht="18" thickTop="1" thickBot="1">
      <c r="C31" s="70"/>
      <c r="D31" s="70" t="s">
        <v>40</v>
      </c>
      <c r="E31" s="75" t="s">
        <v>9</v>
      </c>
      <c r="F31" s="75" t="s">
        <v>44</v>
      </c>
      <c r="G31" s="75" t="s">
        <v>41</v>
      </c>
      <c r="H31" s="75" t="s">
        <v>12</v>
      </c>
      <c r="I31" t="s">
        <v>45</v>
      </c>
      <c r="J31" t="s">
        <v>14</v>
      </c>
      <c r="K31" t="s">
        <v>42</v>
      </c>
      <c r="L31" s="61"/>
    </row>
    <row r="32" spans="1:21" ht="18" thickTop="1" thickBot="1">
      <c r="C32" t="s">
        <v>33</v>
      </c>
      <c r="D32" s="15">
        <v>0.3</v>
      </c>
      <c r="E32" s="15"/>
      <c r="F32" s="15">
        <v>27.7</v>
      </c>
      <c r="G32">
        <v>31.9</v>
      </c>
      <c r="H32" s="15">
        <v>60.1</v>
      </c>
      <c r="I32" s="15"/>
      <c r="J32" s="15"/>
      <c r="K32" s="15">
        <v>18.600000000000001</v>
      </c>
      <c r="L32" s="61"/>
    </row>
    <row r="33" spans="3:14" ht="17" thickTop="1">
      <c r="C33" t="s">
        <v>30</v>
      </c>
      <c r="D33" s="15">
        <v>0.16061676839062</v>
      </c>
      <c r="E33" s="15">
        <v>0.32123353678124</v>
      </c>
      <c r="F33" s="15">
        <v>14.3912624477995</v>
      </c>
      <c r="G33" s="15">
        <v>29.457115322839702</v>
      </c>
      <c r="H33" s="15">
        <v>24.317378734339901</v>
      </c>
      <c r="I33" s="15">
        <v>0</v>
      </c>
      <c r="J33" s="15">
        <v>1.7667844522968199</v>
      </c>
      <c r="K33" s="15">
        <v>27.7</v>
      </c>
      <c r="L33" s="65"/>
    </row>
    <row r="34" spans="3:14">
      <c r="C34" t="s">
        <v>29</v>
      </c>
      <c r="D34" s="30">
        <v>0.3</v>
      </c>
      <c r="E34" s="30" t="s">
        <v>31</v>
      </c>
      <c r="F34" s="30">
        <v>10.7</v>
      </c>
      <c r="G34" s="30">
        <v>44.1</v>
      </c>
      <c r="H34" s="30">
        <v>40.1</v>
      </c>
      <c r="I34" s="30">
        <v>0</v>
      </c>
      <c r="J34" s="29">
        <v>3.8</v>
      </c>
      <c r="K34" s="33">
        <v>19.899999999999999</v>
      </c>
    </row>
    <row r="35" spans="3:14">
      <c r="C35" t="s">
        <v>20</v>
      </c>
      <c r="D35" s="18">
        <v>0.27360000000000001</v>
      </c>
      <c r="E35" s="18">
        <v>0.95760000000000001</v>
      </c>
      <c r="F35" s="18">
        <v>18.262699999999999</v>
      </c>
      <c r="G35" s="18">
        <v>40.697699999999998</v>
      </c>
      <c r="H35" s="18">
        <v>35.704500000000003</v>
      </c>
      <c r="I35" s="18">
        <v>6.8400000000000002E-2</v>
      </c>
      <c r="J35" s="22">
        <v>4.0355699999999999</v>
      </c>
      <c r="K35" s="23">
        <v>18.5</v>
      </c>
    </row>
    <row r="36" spans="3:14">
      <c r="C36" t="s">
        <v>19</v>
      </c>
      <c r="D36" s="109" t="s">
        <v>35</v>
      </c>
      <c r="E36" s="109" t="s">
        <v>35</v>
      </c>
      <c r="F36" s="109" t="s">
        <v>35</v>
      </c>
      <c r="G36" s="109" t="s">
        <v>35</v>
      </c>
      <c r="H36" s="109" t="s">
        <v>35</v>
      </c>
      <c r="I36" s="109" t="s">
        <v>35</v>
      </c>
      <c r="J36" s="85" t="s">
        <v>35</v>
      </c>
      <c r="K36" s="23">
        <v>12.8</v>
      </c>
    </row>
    <row r="37" spans="3:14">
      <c r="C37" t="s">
        <v>34</v>
      </c>
      <c r="D37" s="55">
        <v>0</v>
      </c>
      <c r="E37" s="55">
        <v>0.49</v>
      </c>
      <c r="F37" s="55">
        <v>11.27</v>
      </c>
      <c r="G37" s="55">
        <v>14.22</v>
      </c>
      <c r="H37" s="55">
        <v>69.61</v>
      </c>
      <c r="I37" s="55">
        <v>0.49</v>
      </c>
      <c r="J37" s="55">
        <v>3.92</v>
      </c>
      <c r="K37" s="58">
        <v>2.6</v>
      </c>
    </row>
    <row r="41" spans="3:14" ht="17" thickBot="1"/>
    <row r="42" spans="3:14" ht="43">
      <c r="C42" t="s">
        <v>18</v>
      </c>
      <c r="D42" s="71" t="s">
        <v>68</v>
      </c>
      <c r="E42" s="71" t="s">
        <v>69</v>
      </c>
      <c r="F42" s="177" t="s">
        <v>59</v>
      </c>
    </row>
    <row r="43" spans="3:14">
      <c r="C43" t="s">
        <v>33</v>
      </c>
      <c r="D43" s="13">
        <v>1469</v>
      </c>
      <c r="E43" s="65">
        <v>75556</v>
      </c>
      <c r="F43" s="178">
        <v>1.9E-2</v>
      </c>
    </row>
    <row r="44" spans="3:14">
      <c r="C44" t="s">
        <v>30</v>
      </c>
      <c r="D44" s="13">
        <v>2192</v>
      </c>
      <c r="E44" s="13">
        <v>64366</v>
      </c>
      <c r="F44" s="178">
        <v>3.4000000000000002E-2</v>
      </c>
    </row>
    <row r="45" spans="3:14">
      <c r="C45" t="s">
        <v>29</v>
      </c>
      <c r="D45" s="36">
        <v>1572</v>
      </c>
      <c r="E45" s="145">
        <v>60820</v>
      </c>
      <c r="F45" s="178">
        <v>2.5999999999999999E-2</v>
      </c>
      <c r="M45" s="178"/>
    </row>
    <row r="46" spans="3:14">
      <c r="C46" t="s">
        <v>20</v>
      </c>
      <c r="D46" s="16">
        <v>1462</v>
      </c>
      <c r="E46" s="19">
        <v>54032</v>
      </c>
      <c r="F46" s="178">
        <v>2.7E-2</v>
      </c>
      <c r="N46" s="178"/>
    </row>
    <row r="47" spans="3:14">
      <c r="C47" t="s">
        <v>19</v>
      </c>
      <c r="D47" s="84">
        <v>1011</v>
      </c>
      <c r="E47" s="88">
        <v>53633</v>
      </c>
      <c r="F47" s="178">
        <v>1.9E-2</v>
      </c>
      <c r="N47" s="178"/>
    </row>
    <row r="48" spans="3:14">
      <c r="C48" t="s">
        <v>34</v>
      </c>
      <c r="D48" s="54">
        <v>204</v>
      </c>
      <c r="E48" s="136">
        <v>15414</v>
      </c>
      <c r="F48" s="178">
        <v>1.2999999999999999E-2</v>
      </c>
      <c r="N48" s="178"/>
    </row>
    <row r="49" spans="14:14">
      <c r="N49" s="178"/>
    </row>
    <row r="50" spans="14:14">
      <c r="N50" s="178"/>
    </row>
  </sheetData>
  <sortState xmlns:xlrd2="http://schemas.microsoft.com/office/spreadsheetml/2017/richdata2" ref="A19:V27">
    <sortCondition descending="1" ref="V19:V27"/>
  </sortState>
  <mergeCells count="26">
    <mergeCell ref="U4:U5"/>
    <mergeCell ref="D5:E5"/>
    <mergeCell ref="F5:G5"/>
    <mergeCell ref="H5:I5"/>
    <mergeCell ref="J5:K5"/>
    <mergeCell ref="L5:M5"/>
    <mergeCell ref="N5:O5"/>
    <mergeCell ref="P5:Q5"/>
    <mergeCell ref="B4:B5"/>
    <mergeCell ref="C4:C5"/>
    <mergeCell ref="D4:Q4"/>
    <mergeCell ref="R4:S5"/>
    <mergeCell ref="T4:T5"/>
    <mergeCell ref="B17:B18"/>
    <mergeCell ref="C17:C18"/>
    <mergeCell ref="D17:Q17"/>
    <mergeCell ref="R17:S18"/>
    <mergeCell ref="T17:T18"/>
    <mergeCell ref="U17:U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W47"/>
  <sheetViews>
    <sheetView workbookViewId="0">
      <selection activeCell="J18" activeCellId="1" sqref="J5:K12 J18:K25"/>
    </sheetView>
  </sheetViews>
  <sheetFormatPr baseColWidth="10" defaultColWidth="10.83203125" defaultRowHeight="16"/>
  <sheetData>
    <row r="3" spans="1:23" ht="17" thickBot="1"/>
    <row r="4" spans="1:23" s="2" customFormat="1" ht="25" customHeight="1">
      <c r="A4" s="1"/>
      <c r="B4" s="259" t="s">
        <v>0</v>
      </c>
      <c r="C4" s="261" t="s">
        <v>24</v>
      </c>
      <c r="D4" s="263" t="s">
        <v>25</v>
      </c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5"/>
      <c r="R4" s="243" t="s">
        <v>26</v>
      </c>
      <c r="S4" s="244"/>
      <c r="T4" s="252" t="s">
        <v>27</v>
      </c>
      <c r="U4" s="254" t="s">
        <v>7</v>
      </c>
    </row>
    <row r="5" spans="1:23" s="2" customFormat="1" ht="25" customHeight="1">
      <c r="A5" s="1"/>
      <c r="B5" s="260"/>
      <c r="C5" s="262"/>
      <c r="D5" s="256" t="s">
        <v>8</v>
      </c>
      <c r="E5" s="248"/>
      <c r="F5" s="257" t="s">
        <v>9</v>
      </c>
      <c r="G5" s="248"/>
      <c r="H5" s="247" t="s">
        <v>10</v>
      </c>
      <c r="I5" s="248"/>
      <c r="J5" s="247" t="s">
        <v>11</v>
      </c>
      <c r="K5" s="248"/>
      <c r="L5" s="247" t="s">
        <v>12</v>
      </c>
      <c r="M5" s="248"/>
      <c r="N5" s="247" t="s">
        <v>13</v>
      </c>
      <c r="O5" s="248"/>
      <c r="P5" s="247" t="s">
        <v>14</v>
      </c>
      <c r="Q5" s="258"/>
      <c r="R5" s="245"/>
      <c r="S5" s="246"/>
      <c r="T5" s="253"/>
      <c r="U5" s="255"/>
    </row>
    <row r="6" spans="1:23" s="2" customFormat="1" ht="15" customHeight="1" thickBot="1">
      <c r="A6" s="1"/>
      <c r="B6" s="3"/>
      <c r="C6" s="4"/>
      <c r="D6" s="5" t="s">
        <v>15</v>
      </c>
      <c r="E6" s="6" t="s">
        <v>16</v>
      </c>
      <c r="F6" s="7" t="s">
        <v>15</v>
      </c>
      <c r="G6" s="6" t="s">
        <v>16</v>
      </c>
      <c r="H6" s="7" t="s">
        <v>15</v>
      </c>
      <c r="I6" s="6" t="s">
        <v>16</v>
      </c>
      <c r="J6" s="7" t="s">
        <v>15</v>
      </c>
      <c r="K6" s="6" t="s">
        <v>16</v>
      </c>
      <c r="L6" s="7" t="s">
        <v>15</v>
      </c>
      <c r="M6" s="6" t="s">
        <v>16</v>
      </c>
      <c r="N6" s="7" t="s">
        <v>15</v>
      </c>
      <c r="O6" s="6" t="s">
        <v>16</v>
      </c>
      <c r="P6" s="7" t="s">
        <v>15</v>
      </c>
      <c r="Q6" s="8" t="s">
        <v>16</v>
      </c>
      <c r="R6" s="7" t="s">
        <v>15</v>
      </c>
      <c r="S6" s="9" t="s">
        <v>28</v>
      </c>
      <c r="T6" s="10"/>
      <c r="U6" s="11"/>
    </row>
    <row r="7" spans="1:23">
      <c r="A7" t="s">
        <v>33</v>
      </c>
      <c r="B7" t="s">
        <v>36</v>
      </c>
      <c r="C7" s="13">
        <v>590</v>
      </c>
      <c r="D7" s="14">
        <v>2</v>
      </c>
      <c r="E7" s="15">
        <v>0.3</v>
      </c>
      <c r="F7" s="13">
        <v>50</v>
      </c>
      <c r="G7" s="15">
        <v>8.5</v>
      </c>
      <c r="H7" s="14">
        <v>158</v>
      </c>
      <c r="I7" s="15">
        <v>26.8</v>
      </c>
      <c r="J7" s="13">
        <v>170</v>
      </c>
      <c r="K7" s="15">
        <v>28.8</v>
      </c>
      <c r="L7" s="13">
        <v>269</v>
      </c>
      <c r="M7" s="15">
        <v>45.6</v>
      </c>
      <c r="N7" s="170" t="s">
        <v>35</v>
      </c>
      <c r="O7" s="171" t="s">
        <v>35</v>
      </c>
      <c r="P7" s="170" t="s">
        <v>35</v>
      </c>
      <c r="Q7" s="172" t="s">
        <v>35</v>
      </c>
      <c r="R7" s="14">
        <v>21</v>
      </c>
      <c r="S7" s="15">
        <v>3.6</v>
      </c>
      <c r="T7" s="13"/>
      <c r="U7" s="15"/>
      <c r="V7" s="13"/>
    </row>
    <row r="8" spans="1:23">
      <c r="A8" t="s">
        <v>30</v>
      </c>
      <c r="B8" t="s">
        <v>36</v>
      </c>
      <c r="C8" s="13">
        <v>921</v>
      </c>
      <c r="D8" s="14">
        <v>5</v>
      </c>
      <c r="E8" s="15">
        <v>0.16061676839062</v>
      </c>
      <c r="F8" s="14" t="s">
        <v>32</v>
      </c>
      <c r="G8" s="15">
        <v>6.4246707356248003E-2</v>
      </c>
      <c r="H8" s="14">
        <v>109</v>
      </c>
      <c r="I8" s="15">
        <v>3.5014455509155198</v>
      </c>
      <c r="J8" s="14">
        <v>470</v>
      </c>
      <c r="K8" s="15">
        <v>15.0979762287183</v>
      </c>
      <c r="L8" s="14">
        <v>296</v>
      </c>
      <c r="M8" s="15">
        <v>9.5085126887247</v>
      </c>
      <c r="N8" s="14">
        <v>0</v>
      </c>
      <c r="O8" s="15">
        <v>0</v>
      </c>
      <c r="P8" s="14">
        <v>39</v>
      </c>
      <c r="Q8" s="15">
        <v>1.25281079344684</v>
      </c>
      <c r="R8" s="14">
        <v>23</v>
      </c>
      <c r="S8" s="15">
        <v>0.73883713459685196</v>
      </c>
      <c r="T8" s="49">
        <v>4221</v>
      </c>
      <c r="U8" s="50">
        <v>100</v>
      </c>
      <c r="V8" s="15"/>
    </row>
    <row r="9" spans="1:23">
      <c r="A9" t="s">
        <v>29</v>
      </c>
      <c r="B9" t="s">
        <v>36</v>
      </c>
      <c r="C9" s="36">
        <v>677</v>
      </c>
      <c r="D9" s="28">
        <v>6</v>
      </c>
      <c r="E9" s="30">
        <v>0.9</v>
      </c>
      <c r="F9" s="38" t="s">
        <v>31</v>
      </c>
      <c r="G9" s="30">
        <v>0.1</v>
      </c>
      <c r="H9" s="31">
        <v>26</v>
      </c>
      <c r="I9" s="30">
        <v>3.8</v>
      </c>
      <c r="J9" s="31">
        <v>355</v>
      </c>
      <c r="K9" s="30">
        <v>52.4</v>
      </c>
      <c r="L9" s="31">
        <v>253</v>
      </c>
      <c r="M9" s="30">
        <v>37.4</v>
      </c>
      <c r="N9" s="31">
        <v>0</v>
      </c>
      <c r="O9" s="30">
        <v>0</v>
      </c>
      <c r="P9" s="32">
        <v>36</v>
      </c>
      <c r="Q9" s="29">
        <v>5.3</v>
      </c>
      <c r="R9" s="28" t="s">
        <v>31</v>
      </c>
      <c r="S9" s="29">
        <v>0.3</v>
      </c>
      <c r="T9" s="37">
        <v>4134</v>
      </c>
      <c r="U9" s="143">
        <v>99.9</v>
      </c>
    </row>
    <row r="10" spans="1:23">
      <c r="A10" t="s">
        <v>20</v>
      </c>
      <c r="B10" t="s">
        <v>36</v>
      </c>
      <c r="C10" s="16">
        <v>663</v>
      </c>
      <c r="D10" s="17">
        <v>0</v>
      </c>
      <c r="E10" s="18">
        <v>0</v>
      </c>
      <c r="F10" s="19">
        <v>1</v>
      </c>
      <c r="G10" s="18">
        <v>0.15082999999999999</v>
      </c>
      <c r="H10" s="20">
        <v>88</v>
      </c>
      <c r="I10" s="18">
        <v>13.273</v>
      </c>
      <c r="J10" s="19">
        <v>391</v>
      </c>
      <c r="K10" s="18">
        <v>58.974400000000003</v>
      </c>
      <c r="L10" s="19">
        <v>156</v>
      </c>
      <c r="M10" s="18">
        <v>23.529</v>
      </c>
      <c r="N10" s="19">
        <v>0</v>
      </c>
      <c r="O10" s="18">
        <v>0</v>
      </c>
      <c r="P10" s="21">
        <v>27</v>
      </c>
      <c r="Q10" s="22">
        <v>4.0724</v>
      </c>
      <c r="R10" s="24">
        <v>14</v>
      </c>
      <c r="S10" s="23">
        <v>2.1116000000000001</v>
      </c>
      <c r="T10" s="25">
        <v>4081</v>
      </c>
      <c r="U10" s="144">
        <v>99.706000000000003</v>
      </c>
      <c r="V10" s="23"/>
    </row>
    <row r="11" spans="1:23">
      <c r="A11" t="s">
        <v>19</v>
      </c>
      <c r="B11" t="s">
        <v>36</v>
      </c>
      <c r="C11" s="84">
        <v>492</v>
      </c>
      <c r="D11" s="84" t="s">
        <v>35</v>
      </c>
      <c r="E11" s="109" t="s">
        <v>35</v>
      </c>
      <c r="F11" t="s">
        <v>35</v>
      </c>
      <c r="G11" s="109" t="s">
        <v>35</v>
      </c>
      <c r="H11" t="s">
        <v>35</v>
      </c>
      <c r="I11" s="109" t="s">
        <v>35</v>
      </c>
      <c r="J11" t="s">
        <v>35</v>
      </c>
      <c r="K11" s="109" t="s">
        <v>35</v>
      </c>
      <c r="L11" t="s">
        <v>35</v>
      </c>
      <c r="M11" s="109" t="s">
        <v>35</v>
      </c>
      <c r="N11" t="s">
        <v>35</v>
      </c>
      <c r="O11" s="109" t="s">
        <v>35</v>
      </c>
      <c r="P11" s="91" t="s">
        <v>35</v>
      </c>
      <c r="Q11" s="85" t="s">
        <v>35</v>
      </c>
      <c r="R11" s="84" t="s">
        <v>35</v>
      </c>
      <c r="S11" t="s">
        <v>35</v>
      </c>
      <c r="T11" s="25">
        <v>4145</v>
      </c>
      <c r="U11" s="26">
        <v>100</v>
      </c>
    </row>
    <row r="12" spans="1:23">
      <c r="A12" t="s">
        <v>34</v>
      </c>
      <c r="B12" t="s">
        <v>36</v>
      </c>
      <c r="C12" s="54">
        <v>110</v>
      </c>
      <c r="D12" s="54">
        <v>0</v>
      </c>
      <c r="E12" s="55">
        <v>0</v>
      </c>
      <c r="F12" s="54">
        <v>1</v>
      </c>
      <c r="G12" s="55">
        <v>0.91</v>
      </c>
      <c r="H12" s="54">
        <v>7</v>
      </c>
      <c r="I12" s="55">
        <v>6.36</v>
      </c>
      <c r="J12" s="54">
        <v>19</v>
      </c>
      <c r="K12" s="55">
        <v>17.27</v>
      </c>
      <c r="L12" s="54">
        <v>73</v>
      </c>
      <c r="M12" s="55">
        <v>66.36</v>
      </c>
      <c r="N12" s="54">
        <v>0</v>
      </c>
      <c r="O12" s="55">
        <v>0</v>
      </c>
      <c r="P12" s="54">
        <v>10</v>
      </c>
      <c r="Q12" s="55">
        <v>9.09</v>
      </c>
      <c r="R12" s="54">
        <v>5</v>
      </c>
      <c r="S12" s="55">
        <v>4.55</v>
      </c>
      <c r="T12" s="54">
        <v>3369</v>
      </c>
      <c r="U12" s="55">
        <v>82.82</v>
      </c>
      <c r="V12" s="54"/>
      <c r="W12" s="15"/>
    </row>
    <row r="16" spans="1:23" ht="17" thickBot="1"/>
    <row r="17" spans="1:21" s="2" customFormat="1" ht="25" customHeight="1">
      <c r="A17" s="1"/>
      <c r="B17" s="259" t="s">
        <v>0</v>
      </c>
      <c r="C17" s="261" t="s">
        <v>24</v>
      </c>
      <c r="D17" s="263" t="s">
        <v>25</v>
      </c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5"/>
      <c r="R17" s="243" t="s">
        <v>26</v>
      </c>
      <c r="S17" s="244"/>
      <c r="T17" s="252" t="s">
        <v>27</v>
      </c>
      <c r="U17" s="254" t="s">
        <v>7</v>
      </c>
    </row>
    <row r="18" spans="1:21" s="2" customFormat="1" ht="25" customHeight="1">
      <c r="A18" s="1"/>
      <c r="B18" s="260"/>
      <c r="C18" s="262"/>
      <c r="D18" s="256" t="s">
        <v>8</v>
      </c>
      <c r="E18" s="248"/>
      <c r="F18" s="257" t="s">
        <v>9</v>
      </c>
      <c r="G18" s="248"/>
      <c r="H18" s="247" t="s">
        <v>10</v>
      </c>
      <c r="I18" s="248"/>
      <c r="J18" s="247" t="s">
        <v>11</v>
      </c>
      <c r="K18" s="248"/>
      <c r="L18" s="247" t="s">
        <v>12</v>
      </c>
      <c r="M18" s="248"/>
      <c r="N18" s="247" t="s">
        <v>13</v>
      </c>
      <c r="O18" s="248"/>
      <c r="P18" s="247" t="s">
        <v>14</v>
      </c>
      <c r="Q18" s="258"/>
      <c r="R18" s="245"/>
      <c r="S18" s="246"/>
      <c r="T18" s="253"/>
      <c r="U18" s="255"/>
    </row>
    <row r="19" spans="1:21" s="2" customFormat="1" ht="15" customHeight="1" thickBot="1">
      <c r="A19" s="1"/>
      <c r="B19" s="3"/>
      <c r="C19" s="4"/>
      <c r="D19" s="5" t="s">
        <v>15</v>
      </c>
      <c r="E19" s="6" t="s">
        <v>16</v>
      </c>
      <c r="F19" s="7" t="s">
        <v>15</v>
      </c>
      <c r="G19" s="6" t="s">
        <v>16</v>
      </c>
      <c r="H19" s="7" t="s">
        <v>15</v>
      </c>
      <c r="I19" s="6" t="s">
        <v>16</v>
      </c>
      <c r="J19" s="7" t="s">
        <v>15</v>
      </c>
      <c r="K19" s="6" t="s">
        <v>16</v>
      </c>
      <c r="L19" s="7" t="s">
        <v>15</v>
      </c>
      <c r="M19" s="6" t="s">
        <v>16</v>
      </c>
      <c r="N19" s="7" t="s">
        <v>15</v>
      </c>
      <c r="O19" s="6" t="s">
        <v>16</v>
      </c>
      <c r="P19" s="7" t="s">
        <v>15</v>
      </c>
      <c r="Q19" s="8" t="s">
        <v>16</v>
      </c>
      <c r="R19" s="7" t="s">
        <v>15</v>
      </c>
      <c r="S19" s="9" t="s">
        <v>28</v>
      </c>
      <c r="T19" s="10"/>
      <c r="U19" s="11"/>
    </row>
    <row r="20" spans="1:21">
      <c r="A20" t="s">
        <v>33</v>
      </c>
      <c r="B20" t="s">
        <v>38</v>
      </c>
      <c r="C20">
        <v>27124</v>
      </c>
      <c r="D20">
        <v>588</v>
      </c>
      <c r="E20">
        <v>2.2000000000000002</v>
      </c>
      <c r="F20">
        <v>2433</v>
      </c>
      <c r="G20">
        <v>9</v>
      </c>
      <c r="H20">
        <v>5299</v>
      </c>
      <c r="I20">
        <v>19.5</v>
      </c>
      <c r="J20">
        <v>10639</v>
      </c>
      <c r="K20">
        <v>39.200000000000003</v>
      </c>
      <c r="L20">
        <v>10353</v>
      </c>
      <c r="M20">
        <v>38.1</v>
      </c>
      <c r="N20" t="s">
        <v>35</v>
      </c>
      <c r="O20" s="109" t="s">
        <v>35</v>
      </c>
      <c r="P20" s="91" t="s">
        <v>35</v>
      </c>
      <c r="Q20" s="85" t="s">
        <v>35</v>
      </c>
      <c r="R20">
        <v>1246</v>
      </c>
      <c r="S20">
        <v>4.5999999999999996</v>
      </c>
    </row>
    <row r="21" spans="1:21">
      <c r="A21" t="s">
        <v>30</v>
      </c>
      <c r="B21" t="s">
        <v>38</v>
      </c>
      <c r="C21" s="13">
        <v>23620</v>
      </c>
      <c r="D21" s="14">
        <v>577</v>
      </c>
      <c r="E21" s="15">
        <v>0.65578614779624</v>
      </c>
      <c r="F21" s="14">
        <v>191</v>
      </c>
      <c r="G21" s="15">
        <v>0.217079989998409</v>
      </c>
      <c r="H21" s="14">
        <v>4571</v>
      </c>
      <c r="I21" s="15">
        <v>5.1951446821085199</v>
      </c>
      <c r="J21" s="14">
        <v>9952</v>
      </c>
      <c r="K21" s="15">
        <v>11.310890368922299</v>
      </c>
      <c r="L21" s="14">
        <v>7594</v>
      </c>
      <c r="M21" s="15">
        <v>8.6309185552246905</v>
      </c>
      <c r="N21" s="14">
        <v>59</v>
      </c>
      <c r="O21" s="15">
        <v>6.7056122564953496E-2</v>
      </c>
      <c r="P21" s="14">
        <v>676</v>
      </c>
      <c r="Q21" s="15">
        <v>0.76830404837133204</v>
      </c>
      <c r="R21" s="14">
        <v>849</v>
      </c>
      <c r="S21" s="15">
        <v>0.96492623826517898</v>
      </c>
      <c r="T21" s="117">
        <v>95635</v>
      </c>
      <c r="U21" s="15">
        <v>99.872431641135606</v>
      </c>
    </row>
    <row r="22" spans="1:21">
      <c r="A22" t="s">
        <v>29</v>
      </c>
      <c r="B22" t="s">
        <v>38</v>
      </c>
      <c r="C22" s="145">
        <v>23472</v>
      </c>
      <c r="D22" s="31">
        <v>527</v>
      </c>
      <c r="E22" s="33">
        <v>2.2000000000000002</v>
      </c>
      <c r="F22" s="31">
        <v>107</v>
      </c>
      <c r="G22" s="33">
        <v>0.5</v>
      </c>
      <c r="H22" s="31">
        <v>3476</v>
      </c>
      <c r="I22" s="33">
        <v>14.8</v>
      </c>
      <c r="J22" s="31">
        <v>8436</v>
      </c>
      <c r="K22" s="33">
        <v>35.9</v>
      </c>
      <c r="L22" s="31">
        <v>9677</v>
      </c>
      <c r="M22" s="33">
        <v>41.2</v>
      </c>
      <c r="N22" s="31">
        <v>68</v>
      </c>
      <c r="O22" s="33">
        <v>0.3</v>
      </c>
      <c r="P22" s="31">
        <v>1181</v>
      </c>
      <c r="Q22" s="33">
        <v>5</v>
      </c>
      <c r="R22" s="31">
        <v>817</v>
      </c>
      <c r="S22" s="33">
        <v>3.5</v>
      </c>
      <c r="T22" s="148">
        <v>95507</v>
      </c>
      <c r="U22" s="143">
        <v>99.7</v>
      </c>
    </row>
    <row r="23" spans="1:21" ht="17" thickBot="1">
      <c r="A23" t="s">
        <v>20</v>
      </c>
      <c r="B23" t="s">
        <v>38</v>
      </c>
      <c r="C23" s="19">
        <v>22231</v>
      </c>
      <c r="D23" s="19">
        <v>386</v>
      </c>
      <c r="E23" s="23">
        <v>1.7363</v>
      </c>
      <c r="F23" s="19">
        <v>193</v>
      </c>
      <c r="G23" s="23">
        <v>0.86816000000000004</v>
      </c>
      <c r="H23" s="19">
        <v>4433</v>
      </c>
      <c r="I23" s="23">
        <v>19.9406</v>
      </c>
      <c r="J23" s="19">
        <v>8775</v>
      </c>
      <c r="K23" s="23">
        <v>39.471899999999998</v>
      </c>
      <c r="L23" s="19">
        <v>7472</v>
      </c>
      <c r="M23" s="23">
        <v>33.610999999999997</v>
      </c>
      <c r="N23" s="20">
        <v>91</v>
      </c>
      <c r="O23" s="23">
        <v>0.4093</v>
      </c>
      <c r="P23" s="19">
        <v>881</v>
      </c>
      <c r="Q23" s="23">
        <v>3.9628999999999999</v>
      </c>
      <c r="R23" s="19">
        <v>910</v>
      </c>
      <c r="S23" s="23">
        <v>4.0933999999999999</v>
      </c>
      <c r="T23" s="87">
        <v>96360</v>
      </c>
      <c r="U23" s="23">
        <v>99.986999999999995</v>
      </c>
    </row>
    <row r="24" spans="1:21" ht="17" thickBot="1">
      <c r="A24" t="s">
        <v>19</v>
      </c>
      <c r="B24" t="s">
        <v>38</v>
      </c>
      <c r="C24" s="88">
        <v>22605</v>
      </c>
      <c r="D24" s="84" t="s">
        <v>35</v>
      </c>
      <c r="E24" s="109" t="s">
        <v>35</v>
      </c>
      <c r="F24" t="s">
        <v>35</v>
      </c>
      <c r="G24" s="109" t="s">
        <v>35</v>
      </c>
      <c r="H24" t="s">
        <v>35</v>
      </c>
      <c r="I24" s="109" t="s">
        <v>35</v>
      </c>
      <c r="J24" t="s">
        <v>35</v>
      </c>
      <c r="K24" s="109" t="s">
        <v>35</v>
      </c>
      <c r="L24" t="s">
        <v>35</v>
      </c>
      <c r="M24" s="109" t="s">
        <v>35</v>
      </c>
      <c r="N24" t="s">
        <v>35</v>
      </c>
      <c r="O24" s="109" t="s">
        <v>35</v>
      </c>
      <c r="P24" s="91" t="s">
        <v>35</v>
      </c>
      <c r="Q24" s="85" t="s">
        <v>35</v>
      </c>
      <c r="R24" s="147" t="s">
        <v>35</v>
      </c>
      <c r="S24" s="85" t="s">
        <v>35</v>
      </c>
      <c r="T24" s="88"/>
    </row>
    <row r="25" spans="1:21">
      <c r="A25" t="s">
        <v>34</v>
      </c>
      <c r="B25" t="s">
        <v>38</v>
      </c>
      <c r="C25" s="136">
        <v>7190</v>
      </c>
      <c r="D25" s="132">
        <v>70</v>
      </c>
      <c r="E25" s="134">
        <v>0.31</v>
      </c>
      <c r="F25" s="54">
        <v>52</v>
      </c>
      <c r="G25" s="134">
        <v>0.23</v>
      </c>
      <c r="H25" s="54">
        <v>1463</v>
      </c>
      <c r="I25" s="134">
        <v>6.47</v>
      </c>
      <c r="J25" s="54">
        <v>1971</v>
      </c>
      <c r="K25" s="134">
        <v>8.7200000000000006</v>
      </c>
      <c r="L25" s="54">
        <v>3197</v>
      </c>
      <c r="M25" s="134">
        <v>14.14</v>
      </c>
      <c r="N25" s="54">
        <v>21</v>
      </c>
      <c r="O25" s="134" t="s">
        <v>39</v>
      </c>
      <c r="P25" s="135">
        <v>416</v>
      </c>
      <c r="Q25" s="133">
        <v>1.84</v>
      </c>
      <c r="R25" s="146">
        <v>332</v>
      </c>
      <c r="S25" s="55">
        <v>1.47</v>
      </c>
      <c r="T25" s="136">
        <v>84089</v>
      </c>
      <c r="U25" s="137">
        <v>87.96</v>
      </c>
    </row>
    <row r="26" spans="1:21">
      <c r="A26">
        <v>2023</v>
      </c>
      <c r="B26" t="s">
        <v>38</v>
      </c>
      <c r="C26" s="84"/>
      <c r="D26" s="84"/>
      <c r="E26" s="109"/>
      <c r="G26" s="109"/>
      <c r="I26" s="109"/>
      <c r="K26" s="109"/>
      <c r="M26" s="109"/>
      <c r="O26" s="109"/>
      <c r="P26" s="91"/>
      <c r="Q26" s="85"/>
      <c r="R26" s="84"/>
      <c r="T26" s="88"/>
      <c r="U26" s="91"/>
    </row>
    <row r="27" spans="1:21">
      <c r="A27">
        <v>2024</v>
      </c>
      <c r="B27" t="s">
        <v>38</v>
      </c>
    </row>
    <row r="30" spans="1:21" ht="17" thickBot="1"/>
    <row r="31" spans="1:21" ht="18" thickTop="1" thickBot="1">
      <c r="C31" t="s">
        <v>54</v>
      </c>
      <c r="J31" s="72"/>
      <c r="K31" s="72"/>
      <c r="L31" s="73"/>
    </row>
    <row r="32" spans="1:21" ht="18" thickTop="1" thickBot="1">
      <c r="C32" s="70"/>
      <c r="D32" s="70" t="s">
        <v>40</v>
      </c>
      <c r="E32" s="75" t="s">
        <v>9</v>
      </c>
      <c r="F32" s="75" t="s">
        <v>44</v>
      </c>
      <c r="G32" s="75" t="s">
        <v>41</v>
      </c>
      <c r="H32" s="75" t="s">
        <v>12</v>
      </c>
      <c r="I32" t="s">
        <v>45</v>
      </c>
      <c r="J32" t="s">
        <v>14</v>
      </c>
      <c r="K32" t="s">
        <v>42</v>
      </c>
      <c r="L32" s="61"/>
    </row>
    <row r="33" spans="3:12" ht="18" thickTop="1" thickBot="1">
      <c r="C33" t="s">
        <v>33</v>
      </c>
      <c r="D33" s="15">
        <v>0.3</v>
      </c>
      <c r="E33" s="15">
        <v>8.5</v>
      </c>
      <c r="F33" s="15">
        <v>26.8</v>
      </c>
      <c r="G33" s="15">
        <v>28.8</v>
      </c>
      <c r="H33" s="15">
        <v>45.6</v>
      </c>
      <c r="I33" s="15"/>
      <c r="J33" s="15"/>
      <c r="K33" s="15">
        <v>17.100000000000001</v>
      </c>
      <c r="L33" s="61"/>
    </row>
    <row r="34" spans="3:12" ht="17" thickTop="1">
      <c r="C34" t="s">
        <v>30</v>
      </c>
      <c r="D34" s="15">
        <v>0.16061676839062</v>
      </c>
      <c r="E34" s="15">
        <v>6.4246707356248003E-2</v>
      </c>
      <c r="F34" s="15">
        <v>3.5014455509155198</v>
      </c>
      <c r="G34" s="15">
        <v>15.0979762287183</v>
      </c>
      <c r="H34" s="15">
        <v>9.5085126887247</v>
      </c>
      <c r="I34" s="15">
        <v>0</v>
      </c>
      <c r="J34" s="15">
        <v>1.25281079344684</v>
      </c>
      <c r="K34" s="15">
        <v>26.7</v>
      </c>
    </row>
    <row r="35" spans="3:12">
      <c r="C35" t="s">
        <v>29</v>
      </c>
      <c r="D35" s="30">
        <v>0.9</v>
      </c>
      <c r="E35" s="30">
        <v>0.1</v>
      </c>
      <c r="F35" s="30">
        <v>3.8</v>
      </c>
      <c r="G35" s="30">
        <v>52.4</v>
      </c>
      <c r="H35" s="30">
        <v>37.4</v>
      </c>
      <c r="I35" s="30">
        <v>0</v>
      </c>
      <c r="J35" s="29">
        <v>5.3</v>
      </c>
      <c r="K35" s="33">
        <v>19.600000000000001</v>
      </c>
    </row>
    <row r="36" spans="3:12">
      <c r="C36" t="s">
        <v>20</v>
      </c>
      <c r="D36" s="18">
        <v>0</v>
      </c>
      <c r="E36" s="18">
        <v>0.15082999999999999</v>
      </c>
      <c r="F36" s="18">
        <v>13.273</v>
      </c>
      <c r="G36" s="18">
        <v>58.974400000000003</v>
      </c>
      <c r="H36" s="18">
        <v>23.529</v>
      </c>
      <c r="I36" s="18">
        <v>0</v>
      </c>
      <c r="J36" s="22">
        <v>4.0724</v>
      </c>
      <c r="K36" s="23">
        <v>19.2</v>
      </c>
    </row>
    <row r="37" spans="3:12">
      <c r="C37" t="s">
        <v>19</v>
      </c>
      <c r="D37" s="109" t="s">
        <v>35</v>
      </c>
      <c r="E37" s="109" t="s">
        <v>35</v>
      </c>
      <c r="F37" s="109" t="s">
        <v>35</v>
      </c>
      <c r="G37" s="109" t="s">
        <v>35</v>
      </c>
      <c r="H37" s="109" t="s">
        <v>35</v>
      </c>
      <c r="I37" s="109" t="s">
        <v>35</v>
      </c>
      <c r="J37" s="85" t="s">
        <v>35</v>
      </c>
      <c r="K37" s="23">
        <v>14.2</v>
      </c>
    </row>
    <row r="38" spans="3:12">
      <c r="C38" t="s">
        <v>34</v>
      </c>
      <c r="D38" s="55">
        <v>0</v>
      </c>
      <c r="E38" s="55">
        <v>0.91</v>
      </c>
      <c r="F38" s="55">
        <v>6.36</v>
      </c>
      <c r="G38" s="55">
        <v>17.27</v>
      </c>
      <c r="H38" s="55">
        <v>66.36</v>
      </c>
      <c r="I38" s="55">
        <v>0</v>
      </c>
      <c r="J38" s="55">
        <v>9.09</v>
      </c>
      <c r="K38" s="58">
        <v>3.2</v>
      </c>
    </row>
    <row r="40" spans="3:12" ht="17" thickBot="1"/>
    <row r="41" spans="3:12" ht="57">
      <c r="C41" t="s">
        <v>18</v>
      </c>
      <c r="D41" s="71" t="s">
        <v>72</v>
      </c>
      <c r="E41" s="71" t="s">
        <v>73</v>
      </c>
      <c r="F41" s="177" t="s">
        <v>59</v>
      </c>
    </row>
    <row r="42" spans="3:12">
      <c r="C42" t="s">
        <v>33</v>
      </c>
      <c r="D42" s="13">
        <v>590</v>
      </c>
      <c r="E42">
        <v>27124</v>
      </c>
      <c r="F42" s="178">
        <v>2.1999999999999999E-2</v>
      </c>
    </row>
    <row r="43" spans="3:12">
      <c r="C43" t="s">
        <v>30</v>
      </c>
      <c r="D43" s="13">
        <v>921</v>
      </c>
      <c r="E43" s="13">
        <v>23620</v>
      </c>
      <c r="F43" s="178">
        <v>3.9E-2</v>
      </c>
    </row>
    <row r="44" spans="3:12">
      <c r="C44" t="s">
        <v>29</v>
      </c>
      <c r="D44" s="36">
        <v>677</v>
      </c>
      <c r="E44" s="145">
        <v>23472</v>
      </c>
      <c r="F44" s="178">
        <v>2.9000000000000001E-2</v>
      </c>
    </row>
    <row r="45" spans="3:12">
      <c r="C45" t="s">
        <v>20</v>
      </c>
      <c r="D45" s="16">
        <v>663</v>
      </c>
      <c r="E45" s="19">
        <v>22231</v>
      </c>
      <c r="F45" s="178">
        <v>0.03</v>
      </c>
    </row>
    <row r="46" spans="3:12">
      <c r="C46" t="s">
        <v>19</v>
      </c>
      <c r="D46" s="84">
        <v>492</v>
      </c>
      <c r="E46" s="88">
        <v>22605</v>
      </c>
      <c r="F46" s="178">
        <v>2.1999999999999999E-2</v>
      </c>
    </row>
    <row r="47" spans="3:12">
      <c r="C47" t="s">
        <v>34</v>
      </c>
      <c r="D47" s="54">
        <v>110</v>
      </c>
      <c r="E47" s="136">
        <v>7190</v>
      </c>
      <c r="F47" s="178">
        <v>1.4999999999999999E-2</v>
      </c>
    </row>
  </sheetData>
  <sortState xmlns:xlrd2="http://schemas.microsoft.com/office/spreadsheetml/2017/richdata2" ref="A19:V27">
    <sortCondition descending="1" ref="V19:V27"/>
  </sortState>
  <mergeCells count="26">
    <mergeCell ref="U4:U5"/>
    <mergeCell ref="D5:E5"/>
    <mergeCell ref="F5:G5"/>
    <mergeCell ref="H5:I5"/>
    <mergeCell ref="J5:K5"/>
    <mergeCell ref="L5:M5"/>
    <mergeCell ref="N5:O5"/>
    <mergeCell ref="P5:Q5"/>
    <mergeCell ref="B4:B5"/>
    <mergeCell ref="C4:C5"/>
    <mergeCell ref="D4:Q4"/>
    <mergeCell ref="R4:S5"/>
    <mergeCell ref="T4:T5"/>
    <mergeCell ref="B17:B18"/>
    <mergeCell ref="C17:C18"/>
    <mergeCell ref="D17:Q17"/>
    <mergeCell ref="R17:S18"/>
    <mergeCell ref="T17:T18"/>
    <mergeCell ref="U17:U18"/>
    <mergeCell ref="D18:E18"/>
    <mergeCell ref="F18:G18"/>
    <mergeCell ref="H18:I18"/>
    <mergeCell ref="J18:K18"/>
    <mergeCell ref="L18:M18"/>
    <mergeCell ref="N18:O18"/>
    <mergeCell ref="P18:Q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Scrap 1</vt:lpstr>
      <vt:lpstr>Scrap 2</vt:lpstr>
      <vt:lpstr>Scrap 3</vt:lpstr>
      <vt:lpstr>Total</vt:lpstr>
      <vt:lpstr>Male</vt:lpstr>
      <vt:lpstr>Female</vt:lpstr>
      <vt:lpstr>Total w dis</vt:lpstr>
      <vt:lpstr>Male w dis</vt:lpstr>
      <vt:lpstr>Female w dis</vt:lpstr>
      <vt:lpstr>Total wo dis</vt:lpstr>
      <vt:lpstr>Male wo dis</vt:lpstr>
      <vt:lpstr>Female wo 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Banu Amjud</dc:creator>
  <cp:lastModifiedBy>Nadia Banu Amjud</cp:lastModifiedBy>
  <dcterms:created xsi:type="dcterms:W3CDTF">2025-02-22T01:17:15Z</dcterms:created>
  <dcterms:modified xsi:type="dcterms:W3CDTF">2026-04-28T17:08:27Z</dcterms:modified>
</cp:coreProperties>
</file>